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aa\Downloads\"/>
    </mc:Choice>
  </mc:AlternateContent>
  <xr:revisionPtr revIDLastSave="0" documentId="13_ncr:1_{770BB4D9-5197-4A8B-9856-B30D67E05FA1}" xr6:coauthVersionLast="47" xr6:coauthVersionMax="47" xr10:uidLastSave="{00000000-0000-0000-0000-000000000000}"/>
  <bookViews>
    <workbookView xWindow="-110" yWindow="-110" windowWidth="19420" windowHeight="11500" firstSheet="4" activeTab="5" xr2:uid="{00000000-000D-0000-FFFF-FFFF00000000}"/>
  </bookViews>
  <sheets>
    <sheet name="00_Executive_KPI_Dashboard" sheetId="1" r:id="rId1"/>
    <sheet name="ANA-301_Prior_Auth_Denials" sheetId="2" r:id="rId2"/>
    <sheet name="ANA-302_Value_Based_ROCI" sheetId="3" r:id="rId3"/>
    <sheet name="ANA-303_Audit_Liability" sheetId="4" r:id="rId4"/>
    <sheet name="ANA-304_Crisis_Hemorrhage" sheetId="5" r:id="rId5"/>
    <sheet name="05_Financial_Optimization_Mode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6" l="1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D60" i="5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60" i="4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</calcChain>
</file>

<file path=xl/sharedStrings.xml><?xml version="1.0" encoding="utf-8"?>
<sst xmlns="http://schemas.openxmlformats.org/spreadsheetml/2006/main" count="2234" uniqueCount="223">
  <si>
    <t>WARSAW PSYCHIATRIC HOSPITAL — PILLAR 3 EXECUTIVE DASHBOARD</t>
  </si>
  <si>
    <t>Financial Security, Value-Based ROCI &amp; Revenue Cycle Intelligence (Phase 1 Baseline &amp; Master KPIs)</t>
  </si>
  <si>
    <t>Dataset Scope: 200,000 Total Clinical Episodes / Patients | Currency: PLN | Governance Status: 100% Reconciled</t>
  </si>
  <si>
    <t>1. PILLAR 3 MASTER EXECUTIVE KPI CONSOLIDATION</t>
  </si>
  <si>
    <t>Domain / Metric Area</t>
  </si>
  <si>
    <t>Core Analytical Variable</t>
  </si>
  <si>
    <t>Observed Baseline Value</t>
  </si>
  <si>
    <t>Unit / Scale</t>
  </si>
  <si>
    <t>Strategic Financial Implication</t>
  </si>
  <si>
    <t>Total Billed Hospital Revenue</t>
  </si>
  <si>
    <t>Total_Billed_PLN_Sum</t>
  </si>
  <si>
    <t>PLN</t>
  </si>
  <si>
    <t>Master longitudinal billing base across 200,000 episodes.</t>
  </si>
  <si>
    <t>Total Direct Realized Revenue</t>
  </si>
  <si>
    <t>Direct_Paid_PLN_Sum</t>
  </si>
  <si>
    <t>PLN (70.47%)</t>
  </si>
  <si>
    <t>Actual cash collected from third-party payers and patients.</t>
  </si>
  <si>
    <t>Total Direct Rejected Revenue</t>
  </si>
  <si>
    <t>Direct_Rejected_PLN_Sum</t>
  </si>
  <si>
    <t>PLN (29.53%)</t>
  </si>
  <si>
    <t>Direct financial leakage resulting from billing denials &amp; frictions.</t>
  </si>
  <si>
    <t>High-Risk Audit Exposure Volume</t>
  </si>
  <si>
    <t>High_Audit_Risk_Volume_PLN</t>
  </si>
  <si>
    <t>PLN (42.24%)</t>
  </si>
  <si>
    <t>Billed revenue subject to retrospective audit clawback liabilities.</t>
  </si>
  <si>
    <t>Acute Crisis Direct Hemorrhage</t>
  </si>
  <si>
    <t>Acute_Crisis_Billed_PLN</t>
  </si>
  <si>
    <t>PLN (4.15%)</t>
  </si>
  <si>
    <t>Direct inpatient and emergency costs driven by outpatient delay backlogs.</t>
  </si>
  <si>
    <t>Full Clinical Remissions Achieved</t>
  </si>
  <si>
    <t>Remission_Count</t>
  </si>
  <si>
    <t>Patients (18.07%)</t>
  </si>
  <si>
    <t>High digital engagement cohorts account for 96.65% (34,924) of all remissions.</t>
  </si>
  <si>
    <t>Positive Response Trajectories</t>
  </si>
  <si>
    <t>Positive_Trajectory_Count</t>
  </si>
  <si>
    <t>Episodes (62.26%)</t>
  </si>
  <si>
    <t>Total patient episodes demonstrating clinical recovery or improvement.</t>
  </si>
  <si>
    <t>Total Audit Friction Events</t>
  </si>
  <si>
    <t>Partial + Appeals + Fraud</t>
  </si>
  <si>
    <t>Events (26.61%)</t>
  </si>
  <si>
    <t>Cumulative documentation-related friction across audited treatments.</t>
  </si>
  <si>
    <t>2. MASTER ANALYTICAL MODULE MATRIX &amp; SHEET MAPPING</t>
  </si>
  <si>
    <t>Module ID</t>
  </si>
  <si>
    <t>Module Title</t>
  </si>
  <si>
    <t>Sheet Identifier</t>
  </si>
  <si>
    <t>Primary Analytical Anchors</t>
  </si>
  <si>
    <t>Core Strategic Focus</t>
  </si>
  <si>
    <t>ANA-301</t>
  </si>
  <si>
    <t>Prior Authorization Latency &amp; Denial Cascades</t>
  </si>
  <si>
    <t>ANA-301_Prior_Auth_Denials</t>
  </si>
  <si>
    <t>Insurance x Specialty x PA Delay</t>
  </si>
  <si>
    <t>Isolate delay-driven denials across specialties (202.83M PLN leakage).</t>
  </si>
  <si>
    <t>ANA-302</t>
  </si>
  <si>
    <t>Value-Based ROCI &amp; Digital Engagement Buffer</t>
  </si>
  <si>
    <t>ANA-302_Value_Based_ROCI</t>
  </si>
  <si>
    <t>Therapy Modality x Regimen x Trajectory</t>
  </si>
  <si>
    <t>Quantify cost per remission; prove 96.6% remission yield via digital apps.</t>
  </si>
  <si>
    <t>ANA-303</t>
  </si>
  <si>
    <t>Audit Vulnerability &amp; Documentation Gaps</t>
  </si>
  <si>
    <t>ANA-303_Audit_Liability</t>
  </si>
  <si>
    <t>Provider Handoff x Note Sentiment x Tier</t>
  </si>
  <si>
    <t>Mitigate 290.16M PLN audit exposure driven by clinician burnout handoffs.</t>
  </si>
  <si>
    <t>ANA-304</t>
  </si>
  <si>
    <t>Acute Crisis Hemorrhage &amp; SLA Optimization</t>
  </si>
  <si>
    <t>ANA-304_Crisis_Hemorrhage</t>
  </si>
  <si>
    <t>Diagnosis x Latency Tier x Utilization</t>
  </si>
  <si>
    <t>Prevent 28.50M PLN acute drain and structure shared-savings contracts.</t>
  </si>
  <si>
    <t>3. FINANCIAL DISPLAY CONTROLS &amp; RAG SCORECARD (PHASE 4 ARCHITECTURE)</t>
  </si>
  <si>
    <t>Strategic Objective</t>
  </si>
  <si>
    <t>Metric</t>
  </si>
  <si>
    <t>Target</t>
  </si>
  <si>
    <t>Current Baseline</t>
  </si>
  <si>
    <t>Variance</t>
  </si>
  <si>
    <t>Status (RAG)</t>
  </si>
  <si>
    <t>Financial Security</t>
  </si>
  <si>
    <t>Financial Rejection Rate (%)</t>
  </si>
  <si>
    <t>RED</t>
  </si>
  <si>
    <t>Audit Compliance</t>
  </si>
  <si>
    <t>High-Risk Audit Exposure (%)</t>
  </si>
  <si>
    <t>Clinical ROI</t>
  </si>
  <si>
    <t>Remissions per 1M PLN (High Eng.)</t>
  </si>
  <si>
    <t>AMBER</t>
  </si>
  <si>
    <t>Operational Liquidity</t>
  </si>
  <si>
    <t>Crisis Direct Drain (PLN)</t>
  </si>
  <si>
    <t>MODULE 3.1: PRIOR AUTHORIZATION LATENCY, SPECIALTY CAPACITY &amp; CLAIM DENIAL CASCADES</t>
  </si>
  <si>
    <t>Longitudinal evaluation of prior authorization delays, specialty friction, and unrecovered billed revenue leakage.</t>
  </si>
  <si>
    <t>Target Entities: dbo.Financials, dbo.Insurance_Workflow, dbo.Appointments, dbo.Providers | Granularity: Payer x Specialty x Auth Group x Delay Bucket</t>
  </si>
  <si>
    <t>Payer Type (Insurance)</t>
  </si>
  <si>
    <t>Clinical Specialty</t>
  </si>
  <si>
    <t>Auth Requirement Status</t>
  </si>
  <si>
    <t>Auth Delay Bucket</t>
  </si>
  <si>
    <t>Avg Auth Delay (Days)</t>
  </si>
  <si>
    <t>Total Claims Count</t>
  </si>
  <si>
    <t>Unique Patients Count</t>
  </si>
  <si>
    <t>Paid Claims Count</t>
  </si>
  <si>
    <t>Rejected Claims Count</t>
  </si>
  <si>
    <t>Claim Rejection Rate (%)</t>
  </si>
  <si>
    <t>Total Billed Volume (PLN)</t>
  </si>
  <si>
    <t>Direct Paid Volume (PLN)</t>
  </si>
  <si>
    <t>Direct Rejected Volume (PLN)</t>
  </si>
  <si>
    <t>Financial Realization Rate (%)</t>
  </si>
  <si>
    <t>Avg Claim Amount (PLN)</t>
  </si>
  <si>
    <t>Avg Paid Claim (PLN)</t>
  </si>
  <si>
    <t>Avg Rejected Claim (PLN)</t>
  </si>
  <si>
    <t>NFZ</t>
  </si>
  <si>
    <t>Therapist</t>
  </si>
  <si>
    <t>2. No Auth Required</t>
  </si>
  <si>
    <t>1. Prompt (&lt; 7 days)</t>
  </si>
  <si>
    <t>Clinical Psychologist</t>
  </si>
  <si>
    <t>Addiction Specialist</t>
  </si>
  <si>
    <t>Psychiatrist</t>
  </si>
  <si>
    <t>1. Prior Auth Required</t>
  </si>
  <si>
    <t>2. Moderate Delay (7 - 13 days)</t>
  </si>
  <si>
    <t>3. Severe Delay (&gt;= 14 days)</t>
  </si>
  <si>
    <t>Private</t>
  </si>
  <si>
    <t>Out-of-Pocket</t>
  </si>
  <si>
    <t>HOSPITAL TOTAL / WEIGHTED AVERAGE</t>
  </si>
  <si>
    <t>MODULE 3.2: VALUE-BASED ROCI: COST-EFFICACY OF REGIMENS VS. DIGITAL ENGAGEMENT BUFFER</t>
  </si>
  <si>
    <t>Evaluation of treatment modalities, pharmacology combos, clinical trajectories, and digital self-management buffer.</t>
  </si>
  <si>
    <t>Target Entities: dbo.Financials, dbo.Treatments, dbo.Outcomes, dbo.Longitudinal_Sessions | Granularity: Therapy x Med x Trajectory x Engagement Tier</t>
  </si>
  <si>
    <t>Therapy Modality</t>
  </si>
  <si>
    <t>Pharmacology Regimen</t>
  </si>
  <si>
    <t>Clinical Trajectory Outcome</t>
  </si>
  <si>
    <t>Digital Engagement Tier</t>
  </si>
  <si>
    <t>Avg App Usage (Hrs)</t>
  </si>
  <si>
    <t>Avg Homework Completion (%)</t>
  </si>
  <si>
    <t>Avg Med Adherence (%)</t>
  </si>
  <si>
    <t>Total Treatments Count</t>
  </si>
  <si>
    <t>Avg Cost Per Treatment (PLN)</t>
  </si>
  <si>
    <t>Full Remission Count</t>
  </si>
  <si>
    <t>Full Remission Rate (%)</t>
  </si>
  <si>
    <t>Positive Trajectory Count</t>
  </si>
  <si>
    <t>Positive Response Rate (%)</t>
  </si>
  <si>
    <t>Non-Responsive Treatments Count</t>
  </si>
  <si>
    <t>Non-Responsive Rate (%)</t>
  </si>
  <si>
    <t>Cost Per Full Remission (PLN)</t>
  </si>
  <si>
    <t>Cost Per Positive Response (PLN)</t>
  </si>
  <si>
    <t>Remissions Per 1M PLN Spent</t>
  </si>
  <si>
    <t>Positive Responses Per 1M PLN Spent</t>
  </si>
  <si>
    <t>CBT</t>
  </si>
  <si>
    <t>Sertraline</t>
  </si>
  <si>
    <t>Gradual Improvement</t>
  </si>
  <si>
    <t>1. High Digital &amp; Behavioral Engagement</t>
  </si>
  <si>
    <t>Psychodynamic</t>
  </si>
  <si>
    <t>Quetiapine</t>
  </si>
  <si>
    <t>Venlafaxine</t>
  </si>
  <si>
    <t>DBT</t>
  </si>
  <si>
    <t>Lithium</t>
  </si>
  <si>
    <t>Escitalopram</t>
  </si>
  <si>
    <t>EMDR</t>
  </si>
  <si>
    <t>Group Therapy</t>
  </si>
  <si>
    <t>No Medication (Psychotherapy Only)</t>
  </si>
  <si>
    <t>Full Remission</t>
  </si>
  <si>
    <t>2. Moderate Engagement</t>
  </si>
  <si>
    <t>Relapsing</t>
  </si>
  <si>
    <t>Chronic Resistant</t>
  </si>
  <si>
    <t>3. Low / Passive Engagement</t>
  </si>
  <si>
    <t>MODULE 3.3: AUDIT VULNERABILITY, PROVIDER HANDOFFS &amp; CLINICAL NOTE DOCUMENTATION GAPS</t>
  </si>
  <si>
    <t>Analysis of clinician burnout handoffs, clinical note sentiment degradation, and payer audit/fraud vulnerabilities.</t>
  </si>
  <si>
    <t>Target Entities: dbo.Insurance_Workflow, dbo.Financials, dbo.Clinical_Notes, dbo.Provider_Assignment_History | Granularity: Payer x Handoff x Sentiment x Billed Tier</t>
  </si>
  <si>
    <t>Provider Handoff Tier</t>
  </si>
  <si>
    <t>Sentiment Tier</t>
  </si>
  <si>
    <t>Avg Sentiment Score</t>
  </si>
  <si>
    <t>Billed Revenue Tier</t>
  </si>
  <si>
    <t>Total Audited Treatments</t>
  </si>
  <si>
    <t>High Audit Risk Volume (PLN)</t>
  </si>
  <si>
    <t>High Risk Volume Share (%)</t>
  </si>
  <si>
    <t>Partial Payment Count</t>
  </si>
  <si>
    <t>Partial Payment Rate (%)</t>
  </si>
  <si>
    <t>Appeal Required Count</t>
  </si>
  <si>
    <t>Appeal Rate (%)</t>
  </si>
  <si>
    <t>Fraud Investigation Count</t>
  </si>
  <si>
    <t>Fraud Investigation Rate (%)</t>
  </si>
  <si>
    <t>Audit Friction Per Treatment</t>
  </si>
  <si>
    <t>2. Stable Provider (No Handoff)</t>
  </si>
  <si>
    <t>3. Positive Sentiment (&gt; 0.10)</t>
  </si>
  <si>
    <t>1. High Billed (&gt;= 4000 PLN)</t>
  </si>
  <si>
    <t>2. Neutral / Moderate Sentiment</t>
  </si>
  <si>
    <t>1. Highly Negative Sentiment (&lt; -0.40)</t>
  </si>
  <si>
    <t>2. Moderate Billed (2000 - 3999 PLN)</t>
  </si>
  <si>
    <t>1. Provider Reassigned (Handoff)</t>
  </si>
  <si>
    <t>3. Standard / Low Billed (&lt; 2000 PLN)</t>
  </si>
  <si>
    <t>MODULE 3.4: ACUTE CRISIS FINANCIAL HEMORRHAGE &amp; PAYER CONTRACT SLA OPTIMIZATION</t>
  </si>
  <si>
    <t>Financial loss modeling across emergency visits, acute hospitalizations, scheduling latency, and payer risk distribution.</t>
  </si>
  <si>
    <t>Target Entities: dbo.Financials, dbo.Crisis_Events, dbo.Appointments, dbo.Patients, dbo.Comorbidities | Granularity: Payer x Diagnosis x Latency Tier x Utilization</t>
  </si>
  <si>
    <t>Primary Diagnosis</t>
  </si>
  <si>
    <t>Scheduling Latency Tier</t>
  </si>
  <si>
    <t>Avg Wait Time (Days)</t>
  </si>
  <si>
    <t>Acute Utilization Group</t>
  </si>
  <si>
    <t>Total Unique Patients</t>
  </si>
  <si>
    <t>Patients With Acute Crisis</t>
  </si>
  <si>
    <t>Acute Crisis Rate (%)</t>
  </si>
  <si>
    <t>Total ER Visits Count</t>
  </si>
  <si>
    <t>Total Hospitalizations Count</t>
  </si>
  <si>
    <t>Hospitalization per Crisis Rate (%)</t>
  </si>
  <si>
    <t>Claim Count Rejection Rate (%)</t>
  </si>
  <si>
    <t>Avg Cost Per Patient (PLN)</t>
  </si>
  <si>
    <t>Depression</t>
  </si>
  <si>
    <t>3. Severe Delay (&gt;= 30 days)</t>
  </si>
  <si>
    <t>3. No Acute Crisis</t>
  </si>
  <si>
    <t>Anxiety</t>
  </si>
  <si>
    <t>2. Standard (7 - 29 days)</t>
  </si>
  <si>
    <t>Bipolar</t>
  </si>
  <si>
    <t>Panic Disorder</t>
  </si>
  <si>
    <t>2. ER Visit Only</t>
  </si>
  <si>
    <t>1. Inpatient Hospitalization</t>
  </si>
  <si>
    <t>PHASE 3: CROSS-PILLAR SYNTHESIS &amp; FINANCIAL OPTIMIZATION MODEL</t>
  </si>
  <si>
    <t>Master Equation Integrating P1 (Clinical), P2 (Operational), and P3 (Financial) to calculate Total Addressable Financial Recovery (TAFR)</t>
  </si>
  <si>
    <t>1. THE MASTER OPTIMIZATION EQUATION (TAFR)</t>
  </si>
  <si>
    <t>Component</t>
  </si>
  <si>
    <t>Description</t>
  </si>
  <si>
    <t>Gross Exposure (PLN)</t>
  </si>
  <si>
    <t>Addressable Target (%)</t>
  </si>
  <si>
    <t>Expected Financial Recovery (PLN)</t>
  </si>
  <si>
    <t>RCM &amp; Denials (P2+P3)</t>
  </si>
  <si>
    <t>Recoverable NFZ &amp; Delayed Authorization Leakage via Pre-Scrubbing &amp; 48h SLA</t>
  </si>
  <si>
    <t>Audit &amp; Compliance (P1+P3)</t>
  </si>
  <si>
    <t>Prevention of 18% historical clawback on 290M High-Risk pool via AI Note Templates</t>
  </si>
  <si>
    <t>Acute Crisis SLA (P1+P2)</t>
  </si>
  <si>
    <t>Shared-savings margin + direct diversion of emergency &amp; inpatient drain (Depression)</t>
  </si>
  <si>
    <t>Value-Based ROCI (P1+P3)</t>
  </si>
  <si>
    <t>Capital Reallocation: Shifting 20% of low-yield polypharmacy to High Digital Buffers</t>
  </si>
  <si>
    <t>TOTAL ADDRESSABLE FINANCIAL RECOVERY (TAFR)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</si>
</sst>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i/>
      <sz val="9"/>
      <color rgb="FF555555"/>
      <name val="Arial"/>
    </font>
    <font>
      <b/>
      <sz val="9"/>
      <color rgb="FF333333"/>
      <name val="Arial"/>
    </font>
    <font>
      <b/>
      <sz val="12"/>
      <color rgb="FF1B365D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3"/>
      <color rgb="FF1B365D"/>
      <name val="Arial"/>
    </font>
    <font>
      <b/>
      <sz val="9"/>
      <color rgb="FF1B365D"/>
      <name val="Arial"/>
    </font>
    <font>
      <b/>
      <sz val="14"/>
      <color rgb="FF1B365D"/>
      <name val="Arial"/>
    </font>
    <font>
      <b/>
      <sz val="11"/>
      <color rgb="FF1B365D"/>
      <name val="Arial"/>
    </font>
    <font>
      <b/>
      <sz val="10"/>
      <color rgb="FF1B365D"/>
      <name val="Arial"/>
    </font>
    <font>
      <b/>
      <sz val="11"/>
      <color rgb="FF9C0006"/>
      <name val="Calibri"/>
    </font>
    <font>
      <b/>
      <sz val="11"/>
      <color rgb="FF9C65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8EEF5"/>
        <bgColor rgb="FFE8EEF5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4" fontId="6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4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0" fontId="7" fillId="0" borderId="0" xfId="0" applyFont="1"/>
    <xf numFmtId="2" fontId="6" fillId="4" borderId="1" xfId="0" applyNumberFormat="1" applyFont="1" applyFill="1" applyBorder="1" applyAlignment="1">
      <alignment horizontal="right" vertical="center"/>
    </xf>
    <xf numFmtId="10" fontId="6" fillId="4" borderId="1" xfId="0" applyNumberFormat="1" applyFont="1" applyFill="1" applyBorder="1" applyAlignment="1">
      <alignment horizontal="right" vertical="center"/>
    </xf>
    <xf numFmtId="2" fontId="6" fillId="3" borderId="1" xfId="0" applyNumberFormat="1" applyFont="1" applyFill="1" applyBorder="1" applyAlignment="1">
      <alignment horizontal="right" vertical="center"/>
    </xf>
    <xf numFmtId="10" fontId="6" fillId="3" borderId="1" xfId="0" applyNumberFormat="1" applyFont="1" applyFill="1" applyBorder="1" applyAlignment="1">
      <alignment horizontal="right" vertical="center"/>
    </xf>
    <xf numFmtId="0" fontId="8" fillId="5" borderId="2" xfId="0" applyFont="1" applyFill="1" applyBorder="1"/>
    <xf numFmtId="2" fontId="8" fillId="5" borderId="2" xfId="0" applyNumberFormat="1" applyFont="1" applyFill="1" applyBorder="1"/>
    <xf numFmtId="3" fontId="8" fillId="5" borderId="2" xfId="0" applyNumberFormat="1" applyFont="1" applyFill="1" applyBorder="1"/>
    <xf numFmtId="10" fontId="8" fillId="5" borderId="2" xfId="0" applyNumberFormat="1" applyFont="1" applyFill="1" applyBorder="1"/>
    <xf numFmtId="4" fontId="8" fillId="5" borderId="2" xfId="0" applyNumberFormat="1" applyFont="1" applyFill="1" applyBorder="1"/>
    <xf numFmtId="0" fontId="10" fillId="0" borderId="0" xfId="0" applyFont="1"/>
    <xf numFmtId="0" fontId="12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9" fillId="0" borderId="0" xfId="0" applyFont="1"/>
    <xf numFmtId="0" fontId="11" fillId="5" borderId="1" xfId="0" applyFont="1" applyFill="1" applyBorder="1"/>
    <xf numFmtId="0" fontId="0" fillId="5" borderId="1" xfId="0" applyFill="1" applyBorder="1"/>
    <xf numFmtId="4" fontId="1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opLeftCell="A3" zoomScale="60" zoomScaleNormal="60" workbookViewId="0"/>
  </sheetViews>
  <sheetFormatPr defaultRowHeight="14.5" x14ac:dyDescent="0.35"/>
  <cols>
    <col min="1" max="1" width="114" customWidth="1"/>
    <col min="2" max="2" width="49" customWidth="1"/>
    <col min="3" max="3" width="30" customWidth="1"/>
    <col min="4" max="4" width="44" customWidth="1"/>
    <col min="5" max="5" width="82" customWidth="1"/>
  </cols>
  <sheetData>
    <row r="1" spans="1:5" ht="20" x14ac:dyDescent="0.4">
      <c r="A1" s="1" t="s">
        <v>0</v>
      </c>
    </row>
    <row r="2" spans="1:5" x14ac:dyDescent="0.35">
      <c r="A2" s="2" t="s">
        <v>1</v>
      </c>
    </row>
    <row r="3" spans="1:5" x14ac:dyDescent="0.35">
      <c r="A3" s="3" t="s">
        <v>2</v>
      </c>
    </row>
    <row r="5" spans="1:5" ht="15.5" x14ac:dyDescent="0.35">
      <c r="A5" s="4" t="s">
        <v>3</v>
      </c>
    </row>
    <row r="6" spans="1:5" x14ac:dyDescent="0.3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35">
      <c r="A7" s="6" t="s">
        <v>9</v>
      </c>
      <c r="B7" s="6" t="s">
        <v>10</v>
      </c>
      <c r="C7" s="7">
        <v>686899897.12</v>
      </c>
      <c r="D7" s="8" t="s">
        <v>11</v>
      </c>
      <c r="E7" s="6" t="s">
        <v>12</v>
      </c>
    </row>
    <row r="8" spans="1:5" x14ac:dyDescent="0.35">
      <c r="A8" s="9" t="s">
        <v>13</v>
      </c>
      <c r="B8" s="9" t="s">
        <v>14</v>
      </c>
      <c r="C8" s="10">
        <v>484070043.39999998</v>
      </c>
      <c r="D8" s="11" t="s">
        <v>15</v>
      </c>
      <c r="E8" s="9" t="s">
        <v>16</v>
      </c>
    </row>
    <row r="9" spans="1:5" x14ac:dyDescent="0.35">
      <c r="A9" s="6" t="s">
        <v>17</v>
      </c>
      <c r="B9" s="6" t="s">
        <v>18</v>
      </c>
      <c r="C9" s="7">
        <v>202829853.72</v>
      </c>
      <c r="D9" s="8" t="s">
        <v>19</v>
      </c>
      <c r="E9" s="6" t="s">
        <v>20</v>
      </c>
    </row>
    <row r="10" spans="1:5" x14ac:dyDescent="0.35">
      <c r="A10" s="9" t="s">
        <v>21</v>
      </c>
      <c r="B10" s="9" t="s">
        <v>22</v>
      </c>
      <c r="C10" s="10">
        <v>290163887.37</v>
      </c>
      <c r="D10" s="11" t="s">
        <v>23</v>
      </c>
      <c r="E10" s="9" t="s">
        <v>24</v>
      </c>
    </row>
    <row r="11" spans="1:5" x14ac:dyDescent="0.35">
      <c r="A11" s="6" t="s">
        <v>25</v>
      </c>
      <c r="B11" s="6" t="s">
        <v>26</v>
      </c>
      <c r="C11" s="7">
        <v>28499342.309999999</v>
      </c>
      <c r="D11" s="8" t="s">
        <v>27</v>
      </c>
      <c r="E11" s="6" t="s">
        <v>28</v>
      </c>
    </row>
    <row r="12" spans="1:5" x14ac:dyDescent="0.35">
      <c r="A12" s="9" t="s">
        <v>29</v>
      </c>
      <c r="B12" s="9" t="s">
        <v>30</v>
      </c>
      <c r="C12" s="12">
        <v>36134</v>
      </c>
      <c r="D12" s="11" t="s">
        <v>31</v>
      </c>
      <c r="E12" s="9" t="s">
        <v>32</v>
      </c>
    </row>
    <row r="13" spans="1:5" x14ac:dyDescent="0.35">
      <c r="A13" s="6" t="s">
        <v>33</v>
      </c>
      <c r="B13" s="6" t="s">
        <v>34</v>
      </c>
      <c r="C13" s="13">
        <v>124512</v>
      </c>
      <c r="D13" s="8" t="s">
        <v>35</v>
      </c>
      <c r="E13" s="6" t="s">
        <v>36</v>
      </c>
    </row>
    <row r="14" spans="1:5" x14ac:dyDescent="0.35">
      <c r="A14" s="9" t="s">
        <v>37</v>
      </c>
      <c r="B14" s="9" t="s">
        <v>38</v>
      </c>
      <c r="C14" s="12">
        <v>53210</v>
      </c>
      <c r="D14" s="11" t="s">
        <v>39</v>
      </c>
      <c r="E14" s="9" t="s">
        <v>40</v>
      </c>
    </row>
    <row r="17" spans="1:6" ht="15.5" x14ac:dyDescent="0.35">
      <c r="A17" s="4" t="s">
        <v>41</v>
      </c>
    </row>
    <row r="18" spans="1:6" x14ac:dyDescent="0.35">
      <c r="A18" s="5" t="s">
        <v>42</v>
      </c>
      <c r="B18" s="5" t="s">
        <v>43</v>
      </c>
      <c r="C18" s="5" t="s">
        <v>44</v>
      </c>
      <c r="D18" s="5" t="s">
        <v>45</v>
      </c>
      <c r="E18" s="5" t="s">
        <v>46</v>
      </c>
    </row>
    <row r="19" spans="1:6" x14ac:dyDescent="0.35">
      <c r="A19" s="6" t="s">
        <v>47</v>
      </c>
      <c r="B19" s="6" t="s">
        <v>48</v>
      </c>
      <c r="C19" s="6" t="s">
        <v>49</v>
      </c>
      <c r="D19" s="6" t="s">
        <v>50</v>
      </c>
      <c r="E19" s="6" t="s">
        <v>51</v>
      </c>
    </row>
    <row r="20" spans="1:6" x14ac:dyDescent="0.35">
      <c r="A20" s="9" t="s">
        <v>52</v>
      </c>
      <c r="B20" s="9" t="s">
        <v>53</v>
      </c>
      <c r="C20" s="9" t="s">
        <v>54</v>
      </c>
      <c r="D20" s="9" t="s">
        <v>55</v>
      </c>
      <c r="E20" s="9" t="s">
        <v>56</v>
      </c>
    </row>
    <row r="21" spans="1:6" x14ac:dyDescent="0.35">
      <c r="A21" s="6" t="s">
        <v>57</v>
      </c>
      <c r="B21" s="6" t="s">
        <v>58</v>
      </c>
      <c r="C21" s="6" t="s">
        <v>59</v>
      </c>
      <c r="D21" s="6" t="s">
        <v>60</v>
      </c>
      <c r="E21" s="6" t="s">
        <v>61</v>
      </c>
    </row>
    <row r="22" spans="1:6" x14ac:dyDescent="0.35">
      <c r="A22" s="9" t="s">
        <v>62</v>
      </c>
      <c r="B22" s="9" t="s">
        <v>63</v>
      </c>
      <c r="C22" s="9" t="s">
        <v>64</v>
      </c>
      <c r="D22" s="9" t="s">
        <v>65</v>
      </c>
      <c r="E22" s="9" t="s">
        <v>66</v>
      </c>
    </row>
    <row r="25" spans="1:6" x14ac:dyDescent="0.35">
      <c r="A25" s="24" t="s">
        <v>67</v>
      </c>
    </row>
    <row r="26" spans="1:6" ht="26" x14ac:dyDescent="0.35">
      <c r="A26" s="5" t="s">
        <v>68</v>
      </c>
      <c r="B26" s="5" t="s">
        <v>69</v>
      </c>
      <c r="C26" s="5" t="s">
        <v>70</v>
      </c>
      <c r="D26" s="5" t="s">
        <v>71</v>
      </c>
      <c r="E26" s="5" t="s">
        <v>72</v>
      </c>
      <c r="F26" s="5" t="s">
        <v>73</v>
      </c>
    </row>
    <row r="27" spans="1:6" x14ac:dyDescent="0.35">
      <c r="A27" s="6" t="s">
        <v>74</v>
      </c>
      <c r="B27" s="6" t="s">
        <v>75</v>
      </c>
      <c r="C27" s="18">
        <v>0.05</v>
      </c>
      <c r="D27" s="18">
        <v>0.29530000000000001</v>
      </c>
      <c r="E27" s="18">
        <v>-0.24529999999999999</v>
      </c>
      <c r="F27" s="25" t="s">
        <v>76</v>
      </c>
    </row>
    <row r="28" spans="1:6" x14ac:dyDescent="0.35">
      <c r="A28" s="9" t="s">
        <v>77</v>
      </c>
      <c r="B28" s="9" t="s">
        <v>78</v>
      </c>
      <c r="C28" s="16">
        <v>0.15</v>
      </c>
      <c r="D28" s="16">
        <v>0.4224</v>
      </c>
      <c r="E28" s="16">
        <v>-0.27239999999999998</v>
      </c>
      <c r="F28" s="25" t="s">
        <v>76</v>
      </c>
    </row>
    <row r="29" spans="1:6" x14ac:dyDescent="0.35">
      <c r="A29" s="6" t="s">
        <v>79</v>
      </c>
      <c r="B29" s="6" t="s">
        <v>80</v>
      </c>
      <c r="C29" s="7">
        <v>95</v>
      </c>
      <c r="D29" s="7">
        <v>89.8</v>
      </c>
      <c r="E29" s="7">
        <v>-5.2</v>
      </c>
      <c r="F29" s="26" t="s">
        <v>81</v>
      </c>
    </row>
    <row r="30" spans="1:6" x14ac:dyDescent="0.35">
      <c r="A30" s="9" t="s">
        <v>82</v>
      </c>
      <c r="B30" s="9" t="s">
        <v>83</v>
      </c>
      <c r="C30" s="10">
        <v>10000000</v>
      </c>
      <c r="D30" s="10">
        <v>28499342</v>
      </c>
      <c r="E30" s="10">
        <v>-18499342</v>
      </c>
      <c r="F30" s="25" t="s">
        <v>76</v>
      </c>
    </row>
  </sheetData>
  <conditionalFormatting sqref="C7:C8">
    <cfRule type="dataBar" priority="1">
      <dataBar>
        <cfvo type="min"/>
        <cfvo type="max"/>
        <color rgb="FF1B365D"/>
      </dataBar>
    </cfRule>
  </conditionalFormatting>
  <conditionalFormatting sqref="C9:C11">
    <cfRule type="dataBar" priority="2">
      <dataBar>
        <cfvo type="min"/>
        <cfvo type="max"/>
        <color rgb="FFFF0000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8"/>
  <sheetViews>
    <sheetView workbookViewId="0">
      <pane ySplit="5" topLeftCell="A6" activePane="bottomLeft" state="frozen"/>
      <selection pane="bottomLeft" activeCell="A4" sqref="A4:XFD4"/>
    </sheetView>
  </sheetViews>
  <sheetFormatPr defaultRowHeight="14.5" x14ac:dyDescent="0.35"/>
  <cols>
    <col min="1" max="1" width="153" customWidth="1"/>
    <col min="2" max="2" width="25" customWidth="1"/>
    <col min="3" max="3" width="27" customWidth="1"/>
    <col min="4" max="4" width="35" customWidth="1"/>
    <col min="5" max="5" width="25" customWidth="1"/>
    <col min="6" max="6" width="22" customWidth="1"/>
    <col min="7" max="7" width="25" customWidth="1"/>
    <col min="8" max="8" width="21" customWidth="1"/>
    <col min="9" max="9" width="25" customWidth="1"/>
    <col min="10" max="10" width="28" customWidth="1"/>
    <col min="11" max="11" width="29" customWidth="1"/>
    <col min="12" max="12" width="28" customWidth="1"/>
    <col min="13" max="14" width="32" customWidth="1"/>
    <col min="15" max="15" width="34" customWidth="1"/>
    <col min="16" max="16" width="26" customWidth="1"/>
    <col min="17" max="17" width="24" customWidth="1"/>
    <col min="18" max="18" width="28" customWidth="1"/>
  </cols>
  <sheetData>
    <row r="1" spans="1:18" ht="16.5" x14ac:dyDescent="0.35">
      <c r="A1" s="14" t="s">
        <v>84</v>
      </c>
    </row>
    <row r="2" spans="1:18" x14ac:dyDescent="0.35">
      <c r="A2" s="2" t="s">
        <v>85</v>
      </c>
    </row>
    <row r="3" spans="1:18" x14ac:dyDescent="0.35">
      <c r="A3" s="3" t="s">
        <v>86</v>
      </c>
    </row>
    <row r="5" spans="1:18" x14ac:dyDescent="0.35">
      <c r="A5" s="5" t="s">
        <v>87</v>
      </c>
      <c r="B5" s="5" t="s">
        <v>88</v>
      </c>
      <c r="C5" s="5" t="s">
        <v>89</v>
      </c>
      <c r="D5" s="5" t="s">
        <v>90</v>
      </c>
      <c r="E5" s="5" t="s">
        <v>91</v>
      </c>
      <c r="F5" s="5" t="s">
        <v>92</v>
      </c>
      <c r="G5" s="5" t="s">
        <v>93</v>
      </c>
      <c r="H5" s="5" t="s">
        <v>94</v>
      </c>
      <c r="I5" s="5" t="s">
        <v>95</v>
      </c>
      <c r="J5" s="5" t="s">
        <v>96</v>
      </c>
      <c r="K5" s="5" t="s">
        <v>97</v>
      </c>
      <c r="L5" s="5" t="s">
        <v>98</v>
      </c>
      <c r="M5" s="5" t="s">
        <v>99</v>
      </c>
      <c r="N5" s="5" t="s">
        <v>75</v>
      </c>
      <c r="O5" s="5" t="s">
        <v>100</v>
      </c>
      <c r="P5" s="5" t="s">
        <v>101</v>
      </c>
      <c r="Q5" s="5" t="s">
        <v>102</v>
      </c>
      <c r="R5" s="5" t="s">
        <v>103</v>
      </c>
    </row>
    <row r="6" spans="1:18" x14ac:dyDescent="0.35">
      <c r="A6" s="9" t="s">
        <v>104</v>
      </c>
      <c r="B6" s="9" t="s">
        <v>105</v>
      </c>
      <c r="C6" s="9" t="s">
        <v>106</v>
      </c>
      <c r="D6" s="9" t="s">
        <v>107</v>
      </c>
      <c r="E6" s="15">
        <v>3.27</v>
      </c>
      <c r="F6" s="12">
        <v>9168</v>
      </c>
      <c r="G6" s="12">
        <v>9168</v>
      </c>
      <c r="H6" s="12">
        <v>8405</v>
      </c>
      <c r="I6" s="12">
        <v>763</v>
      </c>
      <c r="J6" s="16">
        <v>8.3199999999999996E-2</v>
      </c>
      <c r="K6" s="10">
        <v>37830977.200000003</v>
      </c>
      <c r="L6" s="10">
        <v>22159918.879999999</v>
      </c>
      <c r="M6" s="10">
        <v>15671058.32</v>
      </c>
      <c r="N6" s="16">
        <v>0.41423879264741797</v>
      </c>
      <c r="O6" s="16">
        <v>0.58576120735258186</v>
      </c>
      <c r="P6" s="10">
        <v>4126.42</v>
      </c>
      <c r="Q6" s="10">
        <v>2636.5162260559191</v>
      </c>
      <c r="R6" s="10">
        <v>20538.739606815201</v>
      </c>
    </row>
    <row r="7" spans="1:18" x14ac:dyDescent="0.35">
      <c r="A7" s="6" t="s">
        <v>104</v>
      </c>
      <c r="B7" s="6" t="s">
        <v>108</v>
      </c>
      <c r="C7" s="6" t="s">
        <v>106</v>
      </c>
      <c r="D7" s="6" t="s">
        <v>107</v>
      </c>
      <c r="E7" s="17">
        <v>3.32</v>
      </c>
      <c r="F7" s="13">
        <v>8732</v>
      </c>
      <c r="G7" s="13">
        <v>8732</v>
      </c>
      <c r="H7" s="13">
        <v>8007</v>
      </c>
      <c r="I7" s="13">
        <v>725</v>
      </c>
      <c r="J7" s="18">
        <v>8.3000000000000004E-2</v>
      </c>
      <c r="K7" s="7">
        <v>35293194.119999997</v>
      </c>
      <c r="L7" s="7">
        <v>21049137.93</v>
      </c>
      <c r="M7" s="7">
        <v>14244056.189999999</v>
      </c>
      <c r="N7" s="18">
        <v>0.40359215268442239</v>
      </c>
      <c r="O7" s="18">
        <v>0.59640784731557761</v>
      </c>
      <c r="P7" s="7">
        <v>4041.82</v>
      </c>
      <c r="Q7" s="7">
        <v>2628.8420044960658</v>
      </c>
      <c r="R7" s="7">
        <v>19646.97405517241</v>
      </c>
    </row>
    <row r="8" spans="1:18" x14ac:dyDescent="0.35">
      <c r="A8" s="9" t="s">
        <v>104</v>
      </c>
      <c r="B8" s="9" t="s">
        <v>109</v>
      </c>
      <c r="C8" s="9" t="s">
        <v>106</v>
      </c>
      <c r="D8" s="9" t="s">
        <v>107</v>
      </c>
      <c r="E8" s="15">
        <v>3.26</v>
      </c>
      <c r="F8" s="12">
        <v>10059</v>
      </c>
      <c r="G8" s="12">
        <v>10059</v>
      </c>
      <c r="H8" s="12">
        <v>9270</v>
      </c>
      <c r="I8" s="12">
        <v>789</v>
      </c>
      <c r="J8" s="16">
        <v>7.8399999999999997E-2</v>
      </c>
      <c r="K8" s="10">
        <v>38279319.170000002</v>
      </c>
      <c r="L8" s="10">
        <v>24400399.649999999</v>
      </c>
      <c r="M8" s="10">
        <v>13878919.52</v>
      </c>
      <c r="N8" s="16">
        <v>0.36256965434424682</v>
      </c>
      <c r="O8" s="16">
        <v>0.63743034565575318</v>
      </c>
      <c r="P8" s="10">
        <v>3805.48</v>
      </c>
      <c r="Q8" s="10">
        <v>2632.1898220064718</v>
      </c>
      <c r="R8" s="10">
        <v>17590.519036755391</v>
      </c>
    </row>
    <row r="9" spans="1:18" x14ac:dyDescent="0.35">
      <c r="A9" s="6" t="s">
        <v>104</v>
      </c>
      <c r="B9" s="6" t="s">
        <v>110</v>
      </c>
      <c r="C9" s="6" t="s">
        <v>106</v>
      </c>
      <c r="D9" s="6" t="s">
        <v>107</v>
      </c>
      <c r="E9" s="17">
        <v>3.29</v>
      </c>
      <c r="F9" s="13">
        <v>8949</v>
      </c>
      <c r="G9" s="13">
        <v>8949</v>
      </c>
      <c r="H9" s="13">
        <v>8232</v>
      </c>
      <c r="I9" s="13">
        <v>717</v>
      </c>
      <c r="J9" s="18">
        <v>8.0100000000000005E-2</v>
      </c>
      <c r="K9" s="7">
        <v>35159868.850000001</v>
      </c>
      <c r="L9" s="7">
        <v>21709314.469999999</v>
      </c>
      <c r="M9" s="7">
        <v>13450554.380000001</v>
      </c>
      <c r="N9" s="18">
        <v>0.38255416814502707</v>
      </c>
      <c r="O9" s="18">
        <v>0.61744583185497282</v>
      </c>
      <c r="P9" s="7">
        <v>3928.92</v>
      </c>
      <c r="Q9" s="7">
        <v>2637.1859171525748</v>
      </c>
      <c r="R9" s="7">
        <v>18759.490069735009</v>
      </c>
    </row>
    <row r="10" spans="1:18" x14ac:dyDescent="0.35">
      <c r="A10" s="9" t="s">
        <v>104</v>
      </c>
      <c r="B10" s="9" t="s">
        <v>105</v>
      </c>
      <c r="C10" s="9" t="s">
        <v>111</v>
      </c>
      <c r="D10" s="9" t="s">
        <v>107</v>
      </c>
      <c r="E10" s="15">
        <v>3.32</v>
      </c>
      <c r="F10" s="12">
        <v>6685</v>
      </c>
      <c r="G10" s="12">
        <v>6685</v>
      </c>
      <c r="H10" s="12">
        <v>6156</v>
      </c>
      <c r="I10" s="12">
        <v>529</v>
      </c>
      <c r="J10" s="16">
        <v>7.9100000000000004E-2</v>
      </c>
      <c r="K10" s="10">
        <v>29086339.100000001</v>
      </c>
      <c r="L10" s="10">
        <v>16261976.83</v>
      </c>
      <c r="M10" s="10">
        <v>12824362.27</v>
      </c>
      <c r="N10" s="16">
        <v>0.44090671658297481</v>
      </c>
      <c r="O10" s="16">
        <v>0.55909328341702513</v>
      </c>
      <c r="P10" s="10">
        <v>4350.99</v>
      </c>
      <c r="Q10" s="10">
        <v>2641.64665854451</v>
      </c>
      <c r="R10" s="10">
        <v>24242.650793950848</v>
      </c>
    </row>
    <row r="11" spans="1:18" x14ac:dyDescent="0.35">
      <c r="A11" s="6" t="s">
        <v>104</v>
      </c>
      <c r="B11" s="6" t="s">
        <v>109</v>
      </c>
      <c r="C11" s="6" t="s">
        <v>106</v>
      </c>
      <c r="D11" s="6" t="s">
        <v>112</v>
      </c>
      <c r="E11" s="17">
        <v>9.4</v>
      </c>
      <c r="F11" s="13">
        <v>6133</v>
      </c>
      <c r="G11" s="13">
        <v>6133</v>
      </c>
      <c r="H11" s="13">
        <v>5616</v>
      </c>
      <c r="I11" s="13">
        <v>517</v>
      </c>
      <c r="J11" s="18">
        <v>8.43E-2</v>
      </c>
      <c r="K11" s="7">
        <v>26553068.34</v>
      </c>
      <c r="L11" s="7">
        <v>14962180.42</v>
      </c>
      <c r="M11" s="7">
        <v>11590887.92</v>
      </c>
      <c r="N11" s="18">
        <v>0.43651783558811119</v>
      </c>
      <c r="O11" s="18">
        <v>0.56348216441188881</v>
      </c>
      <c r="P11" s="7">
        <v>4329.54</v>
      </c>
      <c r="Q11" s="7">
        <v>2664.2059152421648</v>
      </c>
      <c r="R11" s="7">
        <v>22419.512417794969</v>
      </c>
    </row>
    <row r="12" spans="1:18" x14ac:dyDescent="0.35">
      <c r="A12" s="9" t="s">
        <v>104</v>
      </c>
      <c r="B12" s="9" t="s">
        <v>108</v>
      </c>
      <c r="C12" s="9" t="s">
        <v>111</v>
      </c>
      <c r="D12" s="9" t="s">
        <v>107</v>
      </c>
      <c r="E12" s="15">
        <v>3.36</v>
      </c>
      <c r="F12" s="12">
        <v>6330</v>
      </c>
      <c r="G12" s="12">
        <v>6330</v>
      </c>
      <c r="H12" s="12">
        <v>5833</v>
      </c>
      <c r="I12" s="12">
        <v>497</v>
      </c>
      <c r="J12" s="16">
        <v>7.85E-2</v>
      </c>
      <c r="K12" s="10">
        <v>26877620.489999998</v>
      </c>
      <c r="L12" s="10">
        <v>15299635.630000001</v>
      </c>
      <c r="M12" s="10">
        <v>11577984.859999999</v>
      </c>
      <c r="N12" s="16">
        <v>0.43076673637488361</v>
      </c>
      <c r="O12" s="16">
        <v>0.5692332636251165</v>
      </c>
      <c r="P12" s="10">
        <v>4246.07</v>
      </c>
      <c r="Q12" s="10">
        <v>2622.9445619749699</v>
      </c>
      <c r="R12" s="10">
        <v>23295.74418511066</v>
      </c>
    </row>
    <row r="13" spans="1:18" x14ac:dyDescent="0.35">
      <c r="A13" s="6" t="s">
        <v>104</v>
      </c>
      <c r="B13" s="6" t="s">
        <v>109</v>
      </c>
      <c r="C13" s="6" t="s">
        <v>111</v>
      </c>
      <c r="D13" s="6" t="s">
        <v>107</v>
      </c>
      <c r="E13" s="17">
        <v>3.27</v>
      </c>
      <c r="F13" s="13">
        <v>7421</v>
      </c>
      <c r="G13" s="13">
        <v>7421</v>
      </c>
      <c r="H13" s="13">
        <v>6807</v>
      </c>
      <c r="I13" s="13">
        <v>614</v>
      </c>
      <c r="J13" s="18">
        <v>8.2699999999999996E-2</v>
      </c>
      <c r="K13" s="7">
        <v>28222183.66</v>
      </c>
      <c r="L13" s="7">
        <v>17818087.07</v>
      </c>
      <c r="M13" s="7">
        <v>10404096.59</v>
      </c>
      <c r="N13" s="18">
        <v>0.36864959548633308</v>
      </c>
      <c r="O13" s="18">
        <v>0.63135040451366686</v>
      </c>
      <c r="P13" s="7">
        <v>3803.02</v>
      </c>
      <c r="Q13" s="7">
        <v>2617.6123211400031</v>
      </c>
      <c r="R13" s="7">
        <v>16944.782719869709</v>
      </c>
    </row>
    <row r="14" spans="1:18" x14ac:dyDescent="0.35">
      <c r="A14" s="9" t="s">
        <v>104</v>
      </c>
      <c r="B14" s="9" t="s">
        <v>110</v>
      </c>
      <c r="C14" s="9" t="s">
        <v>111</v>
      </c>
      <c r="D14" s="9" t="s">
        <v>107</v>
      </c>
      <c r="E14" s="15">
        <v>3.33</v>
      </c>
      <c r="F14" s="12">
        <v>6442</v>
      </c>
      <c r="G14" s="12">
        <v>6442</v>
      </c>
      <c r="H14" s="12">
        <v>5895</v>
      </c>
      <c r="I14" s="12">
        <v>547</v>
      </c>
      <c r="J14" s="16">
        <v>8.4900000000000003E-2</v>
      </c>
      <c r="K14" s="10">
        <v>25632502.18</v>
      </c>
      <c r="L14" s="10">
        <v>15477896.73</v>
      </c>
      <c r="M14" s="10">
        <v>10154605.449999999</v>
      </c>
      <c r="N14" s="16">
        <v>0.39616130250144782</v>
      </c>
      <c r="O14" s="16">
        <v>0.60383869749855223</v>
      </c>
      <c r="P14" s="10">
        <v>3978.97</v>
      </c>
      <c r="Q14" s="10">
        <v>2625.5974096692112</v>
      </c>
      <c r="R14" s="10">
        <v>18564.178153564899</v>
      </c>
    </row>
    <row r="15" spans="1:18" x14ac:dyDescent="0.35">
      <c r="A15" s="6" t="s">
        <v>104</v>
      </c>
      <c r="B15" s="6" t="s">
        <v>110</v>
      </c>
      <c r="C15" s="6" t="s">
        <v>106</v>
      </c>
      <c r="D15" s="6" t="s">
        <v>112</v>
      </c>
      <c r="E15" s="17">
        <v>9.3699999999999992</v>
      </c>
      <c r="F15" s="13">
        <v>5366</v>
      </c>
      <c r="G15" s="13">
        <v>5366</v>
      </c>
      <c r="H15" s="13">
        <v>4908</v>
      </c>
      <c r="I15" s="13">
        <v>458</v>
      </c>
      <c r="J15" s="18">
        <v>8.539999999999999E-2</v>
      </c>
      <c r="K15" s="7">
        <v>22288777.530000001</v>
      </c>
      <c r="L15" s="7">
        <v>12834530.23</v>
      </c>
      <c r="M15" s="7">
        <v>9454247.3000000007</v>
      </c>
      <c r="N15" s="18">
        <v>0.42417074185764009</v>
      </c>
      <c r="O15" s="18">
        <v>0.57582925814235986</v>
      </c>
      <c r="P15" s="7">
        <v>4153.7</v>
      </c>
      <c r="Q15" s="7">
        <v>2615.0224592502041</v>
      </c>
      <c r="R15" s="7">
        <v>20642.461353711791</v>
      </c>
    </row>
    <row r="16" spans="1:18" x14ac:dyDescent="0.35">
      <c r="A16" s="9" t="s">
        <v>104</v>
      </c>
      <c r="B16" s="9" t="s">
        <v>108</v>
      </c>
      <c r="C16" s="9" t="s">
        <v>106</v>
      </c>
      <c r="D16" s="9" t="s">
        <v>112</v>
      </c>
      <c r="E16" s="15">
        <v>9.36</v>
      </c>
      <c r="F16" s="12">
        <v>5181</v>
      </c>
      <c r="G16" s="12">
        <v>5181</v>
      </c>
      <c r="H16" s="12">
        <v>4779</v>
      </c>
      <c r="I16" s="12">
        <v>402</v>
      </c>
      <c r="J16" s="16">
        <v>7.7600000000000002E-2</v>
      </c>
      <c r="K16" s="10">
        <v>22003838.620000001</v>
      </c>
      <c r="L16" s="10">
        <v>12735818.380000001</v>
      </c>
      <c r="M16" s="10">
        <v>9268020.2400000002</v>
      </c>
      <c r="N16" s="16">
        <v>0.42120015512093401</v>
      </c>
      <c r="O16" s="16">
        <v>0.57879984487906588</v>
      </c>
      <c r="P16" s="10">
        <v>4247.03</v>
      </c>
      <c r="Q16" s="10">
        <v>2664.9546725256332</v>
      </c>
      <c r="R16" s="10">
        <v>23054.776716417909</v>
      </c>
    </row>
    <row r="17" spans="1:18" x14ac:dyDescent="0.35">
      <c r="A17" s="6" t="s">
        <v>104</v>
      </c>
      <c r="B17" s="6" t="s">
        <v>105</v>
      </c>
      <c r="C17" s="6" t="s">
        <v>106</v>
      </c>
      <c r="D17" s="6" t="s">
        <v>112</v>
      </c>
      <c r="E17" s="17">
        <v>9.34</v>
      </c>
      <c r="F17" s="13">
        <v>5450</v>
      </c>
      <c r="G17" s="13">
        <v>5450</v>
      </c>
      <c r="H17" s="13">
        <v>5005</v>
      </c>
      <c r="I17" s="13">
        <v>445</v>
      </c>
      <c r="J17" s="18">
        <v>8.1699999999999995E-2</v>
      </c>
      <c r="K17" s="7">
        <v>20878904.52</v>
      </c>
      <c r="L17" s="7">
        <v>13167752.16</v>
      </c>
      <c r="M17" s="7">
        <v>7711152.3600000003</v>
      </c>
      <c r="N17" s="18">
        <v>0.36932744017357089</v>
      </c>
      <c r="O17" s="18">
        <v>0.63067255982642911</v>
      </c>
      <c r="P17" s="7">
        <v>3830.99</v>
      </c>
      <c r="Q17" s="7">
        <v>2630.9195124875118</v>
      </c>
      <c r="R17" s="7">
        <v>17328.432269662921</v>
      </c>
    </row>
    <row r="18" spans="1:18" x14ac:dyDescent="0.35">
      <c r="A18" s="9" t="s">
        <v>104</v>
      </c>
      <c r="B18" s="9" t="s">
        <v>110</v>
      </c>
      <c r="C18" s="9" t="s">
        <v>111</v>
      </c>
      <c r="D18" s="9" t="s">
        <v>112</v>
      </c>
      <c r="E18" s="15">
        <v>9.42</v>
      </c>
      <c r="F18" s="12">
        <v>3730</v>
      </c>
      <c r="G18" s="12">
        <v>3730</v>
      </c>
      <c r="H18" s="12">
        <v>3454</v>
      </c>
      <c r="I18" s="12">
        <v>276</v>
      </c>
      <c r="J18" s="16">
        <v>7.400000000000001E-2</v>
      </c>
      <c r="K18" s="10">
        <v>16109311.08</v>
      </c>
      <c r="L18" s="10">
        <v>9057358.7300000004</v>
      </c>
      <c r="M18" s="10">
        <v>7051952.3499999996</v>
      </c>
      <c r="N18" s="16">
        <v>0.43775629603149979</v>
      </c>
      <c r="O18" s="16">
        <v>0.56224370396850021</v>
      </c>
      <c r="P18" s="10">
        <v>4318.8500000000004</v>
      </c>
      <c r="Q18" s="10">
        <v>2622.2810451650262</v>
      </c>
      <c r="R18" s="10">
        <v>25550.551992753619</v>
      </c>
    </row>
    <row r="19" spans="1:18" x14ac:dyDescent="0.35">
      <c r="A19" s="6" t="s">
        <v>104</v>
      </c>
      <c r="B19" s="6" t="s">
        <v>108</v>
      </c>
      <c r="C19" s="6" t="s">
        <v>111</v>
      </c>
      <c r="D19" s="6" t="s">
        <v>112</v>
      </c>
      <c r="E19" s="17">
        <v>9.42</v>
      </c>
      <c r="F19" s="13">
        <v>3803</v>
      </c>
      <c r="G19" s="13">
        <v>3803</v>
      </c>
      <c r="H19" s="13">
        <v>3517</v>
      </c>
      <c r="I19" s="13">
        <v>286</v>
      </c>
      <c r="J19" s="18">
        <v>7.5199999999999989E-2</v>
      </c>
      <c r="K19" s="7">
        <v>14353804.560000001</v>
      </c>
      <c r="L19" s="7">
        <v>9271156.8200000003</v>
      </c>
      <c r="M19" s="7">
        <v>5082647.74</v>
      </c>
      <c r="N19" s="18">
        <v>0.35409759961229398</v>
      </c>
      <c r="O19" s="18">
        <v>0.64590240038770608</v>
      </c>
      <c r="P19" s="7">
        <v>3774.34</v>
      </c>
      <c r="Q19" s="7">
        <v>2636.0980437873191</v>
      </c>
      <c r="R19" s="7">
        <v>17771.495594405591</v>
      </c>
    </row>
    <row r="20" spans="1:18" x14ac:dyDescent="0.35">
      <c r="A20" s="9" t="s">
        <v>104</v>
      </c>
      <c r="B20" s="9" t="s">
        <v>105</v>
      </c>
      <c r="C20" s="9" t="s">
        <v>111</v>
      </c>
      <c r="D20" s="9" t="s">
        <v>112</v>
      </c>
      <c r="E20" s="15">
        <v>9.36</v>
      </c>
      <c r="F20" s="12">
        <v>3953</v>
      </c>
      <c r="G20" s="12">
        <v>3953</v>
      </c>
      <c r="H20" s="12">
        <v>3661</v>
      </c>
      <c r="I20" s="12">
        <v>292</v>
      </c>
      <c r="J20" s="16">
        <v>7.3899999999999993E-2</v>
      </c>
      <c r="K20" s="10">
        <v>14578561.050000001</v>
      </c>
      <c r="L20" s="10">
        <v>9646544.9600000009</v>
      </c>
      <c r="M20" s="10">
        <v>4932016.09</v>
      </c>
      <c r="N20" s="16">
        <v>0.3383060970890539</v>
      </c>
      <c r="O20" s="16">
        <v>0.6616939029109461</v>
      </c>
      <c r="P20" s="10">
        <v>3687.97</v>
      </c>
      <c r="Q20" s="10">
        <v>2634.9480906856052</v>
      </c>
      <c r="R20" s="10">
        <v>16890.46606164383</v>
      </c>
    </row>
    <row r="21" spans="1:18" x14ac:dyDescent="0.35">
      <c r="A21" s="6" t="s">
        <v>104</v>
      </c>
      <c r="B21" s="6" t="s">
        <v>109</v>
      </c>
      <c r="C21" s="6" t="s">
        <v>111</v>
      </c>
      <c r="D21" s="6" t="s">
        <v>112</v>
      </c>
      <c r="E21" s="17">
        <v>9.4</v>
      </c>
      <c r="F21" s="13">
        <v>4379</v>
      </c>
      <c r="G21" s="13">
        <v>4379</v>
      </c>
      <c r="H21" s="13">
        <v>4025</v>
      </c>
      <c r="I21" s="13">
        <v>354</v>
      </c>
      <c r="J21" s="18">
        <v>8.0799999999999997E-2</v>
      </c>
      <c r="K21" s="7">
        <v>15159033.939999999</v>
      </c>
      <c r="L21" s="7">
        <v>10630673.529999999</v>
      </c>
      <c r="M21" s="7">
        <v>4528360.41</v>
      </c>
      <c r="N21" s="18">
        <v>0.29872354847435623</v>
      </c>
      <c r="O21" s="18">
        <v>0.70127645152564388</v>
      </c>
      <c r="P21" s="7">
        <v>3461.76</v>
      </c>
      <c r="Q21" s="7">
        <v>2641.1611254658378</v>
      </c>
      <c r="R21" s="7">
        <v>12791.978559322029</v>
      </c>
    </row>
    <row r="22" spans="1:18" x14ac:dyDescent="0.35">
      <c r="A22" s="9" t="s">
        <v>104</v>
      </c>
      <c r="B22" s="9" t="s">
        <v>105</v>
      </c>
      <c r="C22" s="9" t="s">
        <v>106</v>
      </c>
      <c r="D22" s="9" t="s">
        <v>113</v>
      </c>
      <c r="E22" s="15">
        <v>18.32</v>
      </c>
      <c r="F22" s="12">
        <v>2088</v>
      </c>
      <c r="G22" s="12">
        <v>2088</v>
      </c>
      <c r="H22" s="12">
        <v>1928</v>
      </c>
      <c r="I22" s="12">
        <v>160</v>
      </c>
      <c r="J22" s="16">
        <v>7.6600000000000001E-2</v>
      </c>
      <c r="K22" s="10">
        <v>8998776.4900000002</v>
      </c>
      <c r="L22" s="10">
        <v>5024270.9000000004</v>
      </c>
      <c r="M22" s="10">
        <v>3974505.59</v>
      </c>
      <c r="N22" s="16">
        <v>0.44167177553712078</v>
      </c>
      <c r="O22" s="16">
        <v>0.55832822446287922</v>
      </c>
      <c r="P22" s="10">
        <v>4309.76</v>
      </c>
      <c r="Q22" s="10">
        <v>2605.9496369294611</v>
      </c>
      <c r="R22" s="10">
        <v>24840.659937500001</v>
      </c>
    </row>
    <row r="23" spans="1:18" x14ac:dyDescent="0.35">
      <c r="A23" s="6" t="s">
        <v>104</v>
      </c>
      <c r="B23" s="6" t="s">
        <v>110</v>
      </c>
      <c r="C23" s="6" t="s">
        <v>106</v>
      </c>
      <c r="D23" s="6" t="s">
        <v>113</v>
      </c>
      <c r="E23" s="17">
        <v>18.41</v>
      </c>
      <c r="F23" s="13">
        <v>2006</v>
      </c>
      <c r="G23" s="13">
        <v>2006</v>
      </c>
      <c r="H23" s="13">
        <v>1832</v>
      </c>
      <c r="I23" s="13">
        <v>174</v>
      </c>
      <c r="J23" s="18">
        <v>8.6699999999999999E-2</v>
      </c>
      <c r="K23" s="7">
        <v>8761700.8200000003</v>
      </c>
      <c r="L23" s="7">
        <v>4825620.45</v>
      </c>
      <c r="M23" s="7">
        <v>3936080.37</v>
      </c>
      <c r="N23" s="18">
        <v>0.4492370203985121</v>
      </c>
      <c r="O23" s="18">
        <v>0.5507629796014879</v>
      </c>
      <c r="P23" s="7">
        <v>4367.75</v>
      </c>
      <c r="Q23" s="7">
        <v>2634.0722980349351</v>
      </c>
      <c r="R23" s="7">
        <v>22621.151551724139</v>
      </c>
    </row>
    <row r="24" spans="1:18" x14ac:dyDescent="0.35">
      <c r="A24" s="9" t="s">
        <v>104</v>
      </c>
      <c r="B24" s="9" t="s">
        <v>108</v>
      </c>
      <c r="C24" s="9" t="s">
        <v>106</v>
      </c>
      <c r="D24" s="9" t="s">
        <v>113</v>
      </c>
      <c r="E24" s="15">
        <v>18.239999999999998</v>
      </c>
      <c r="F24" s="12">
        <v>1954</v>
      </c>
      <c r="G24" s="12">
        <v>1954</v>
      </c>
      <c r="H24" s="12">
        <v>1798</v>
      </c>
      <c r="I24" s="12">
        <v>156</v>
      </c>
      <c r="J24" s="16">
        <v>7.980000000000001E-2</v>
      </c>
      <c r="K24" s="10">
        <v>7928425.0300000003</v>
      </c>
      <c r="L24" s="10">
        <v>4782089.66</v>
      </c>
      <c r="M24" s="10">
        <v>3146335.37</v>
      </c>
      <c r="N24" s="16">
        <v>0.39684241928185332</v>
      </c>
      <c r="O24" s="16">
        <v>0.60315758071814674</v>
      </c>
      <c r="P24" s="10">
        <v>4057.54</v>
      </c>
      <c r="Q24" s="10">
        <v>2659.6716685205779</v>
      </c>
      <c r="R24" s="10">
        <v>20168.81647435898</v>
      </c>
    </row>
    <row r="25" spans="1:18" x14ac:dyDescent="0.35">
      <c r="A25" s="6" t="s">
        <v>104</v>
      </c>
      <c r="B25" s="6" t="s">
        <v>105</v>
      </c>
      <c r="C25" s="6" t="s">
        <v>111</v>
      </c>
      <c r="D25" s="6" t="s">
        <v>113</v>
      </c>
      <c r="E25" s="17">
        <v>18.02</v>
      </c>
      <c r="F25" s="13">
        <v>1496</v>
      </c>
      <c r="G25" s="13">
        <v>1496</v>
      </c>
      <c r="H25" s="13">
        <v>1369</v>
      </c>
      <c r="I25" s="13">
        <v>127</v>
      </c>
      <c r="J25" s="18">
        <v>8.4900000000000003E-2</v>
      </c>
      <c r="K25" s="7">
        <v>6761713.9000000004</v>
      </c>
      <c r="L25" s="7">
        <v>3646505.88</v>
      </c>
      <c r="M25" s="7">
        <v>3115208.02</v>
      </c>
      <c r="N25" s="18">
        <v>0.46071278171056601</v>
      </c>
      <c r="O25" s="18">
        <v>0.53928721828943393</v>
      </c>
      <c r="P25" s="7">
        <v>4519.8599999999997</v>
      </c>
      <c r="Q25" s="7">
        <v>2663.6273776479179</v>
      </c>
      <c r="R25" s="7">
        <v>24529.19700787402</v>
      </c>
    </row>
    <row r="26" spans="1:18" x14ac:dyDescent="0.35">
      <c r="A26" s="9" t="s">
        <v>104</v>
      </c>
      <c r="B26" s="9" t="s">
        <v>109</v>
      </c>
      <c r="C26" s="9" t="s">
        <v>106</v>
      </c>
      <c r="D26" s="9" t="s">
        <v>113</v>
      </c>
      <c r="E26" s="15">
        <v>18.21</v>
      </c>
      <c r="F26" s="12">
        <v>2221</v>
      </c>
      <c r="G26" s="12">
        <v>2221</v>
      </c>
      <c r="H26" s="12">
        <v>2059</v>
      </c>
      <c r="I26" s="12">
        <v>162</v>
      </c>
      <c r="J26" s="16">
        <v>7.2900000000000006E-2</v>
      </c>
      <c r="K26" s="10">
        <v>8169699.54</v>
      </c>
      <c r="L26" s="10">
        <v>5449702.9299999997</v>
      </c>
      <c r="M26" s="10">
        <v>2719996.61</v>
      </c>
      <c r="N26" s="16">
        <v>0.33293716576509491</v>
      </c>
      <c r="O26" s="16">
        <v>0.66706283423490509</v>
      </c>
      <c r="P26" s="10">
        <v>3678.39</v>
      </c>
      <c r="Q26" s="10">
        <v>2646.7716998542978</v>
      </c>
      <c r="R26" s="10">
        <v>16790.102530864198</v>
      </c>
    </row>
    <row r="27" spans="1:18" x14ac:dyDescent="0.35">
      <c r="A27" s="6" t="s">
        <v>104</v>
      </c>
      <c r="B27" s="6" t="s">
        <v>109</v>
      </c>
      <c r="C27" s="6" t="s">
        <v>111</v>
      </c>
      <c r="D27" s="6" t="s">
        <v>113</v>
      </c>
      <c r="E27" s="17">
        <v>18.170000000000002</v>
      </c>
      <c r="F27" s="13">
        <v>1695</v>
      </c>
      <c r="G27" s="13">
        <v>1695</v>
      </c>
      <c r="H27" s="13">
        <v>1564</v>
      </c>
      <c r="I27" s="13">
        <v>131</v>
      </c>
      <c r="J27" s="18">
        <v>7.7300000000000008E-2</v>
      </c>
      <c r="K27" s="7">
        <v>6704427.0899999999</v>
      </c>
      <c r="L27" s="7">
        <v>4201302.6100000003</v>
      </c>
      <c r="M27" s="7">
        <v>2503124.48</v>
      </c>
      <c r="N27" s="18">
        <v>0.3733539713980244</v>
      </c>
      <c r="O27" s="18">
        <v>0.62664602860197571</v>
      </c>
      <c r="P27" s="7">
        <v>3955.41</v>
      </c>
      <c r="Q27" s="7">
        <v>2686.2548657288999</v>
      </c>
      <c r="R27" s="7">
        <v>19107.820458015271</v>
      </c>
    </row>
    <row r="28" spans="1:18" x14ac:dyDescent="0.35">
      <c r="A28" s="9" t="s">
        <v>104</v>
      </c>
      <c r="B28" s="9" t="s">
        <v>110</v>
      </c>
      <c r="C28" s="9" t="s">
        <v>111</v>
      </c>
      <c r="D28" s="9" t="s">
        <v>113</v>
      </c>
      <c r="E28" s="15">
        <v>18.489999999999998</v>
      </c>
      <c r="F28" s="12">
        <v>1450</v>
      </c>
      <c r="G28" s="12">
        <v>1450</v>
      </c>
      <c r="H28" s="12">
        <v>1345</v>
      </c>
      <c r="I28" s="12">
        <v>105</v>
      </c>
      <c r="J28" s="16">
        <v>7.2400000000000006E-2</v>
      </c>
      <c r="K28" s="10">
        <v>5861602.5700000003</v>
      </c>
      <c r="L28" s="10">
        <v>3583449.67</v>
      </c>
      <c r="M28" s="10">
        <v>2278152.9</v>
      </c>
      <c r="N28" s="16">
        <v>0.38865700510978168</v>
      </c>
      <c r="O28" s="16">
        <v>0.61134299489021815</v>
      </c>
      <c r="P28" s="10">
        <v>4042.48</v>
      </c>
      <c r="Q28" s="10">
        <v>2664.2748475836429</v>
      </c>
      <c r="R28" s="10">
        <v>21696.694285714289</v>
      </c>
    </row>
    <row r="29" spans="1:18" x14ac:dyDescent="0.35">
      <c r="A29" s="6" t="s">
        <v>104</v>
      </c>
      <c r="B29" s="6" t="s">
        <v>108</v>
      </c>
      <c r="C29" s="6" t="s">
        <v>111</v>
      </c>
      <c r="D29" s="6" t="s">
        <v>113</v>
      </c>
      <c r="E29" s="17">
        <v>18.48</v>
      </c>
      <c r="F29" s="13">
        <v>1365</v>
      </c>
      <c r="G29" s="13">
        <v>1365</v>
      </c>
      <c r="H29" s="13">
        <v>1261</v>
      </c>
      <c r="I29" s="13">
        <v>104</v>
      </c>
      <c r="J29" s="18">
        <v>7.6200000000000004E-2</v>
      </c>
      <c r="K29" s="7">
        <v>5219785.53</v>
      </c>
      <c r="L29" s="7">
        <v>3236029.48</v>
      </c>
      <c r="M29" s="7">
        <v>1983756.05</v>
      </c>
      <c r="N29" s="18">
        <v>0.38004550926443909</v>
      </c>
      <c r="O29" s="18">
        <v>0.61995449073556086</v>
      </c>
      <c r="P29" s="7">
        <v>3824.02</v>
      </c>
      <c r="Q29" s="7">
        <v>2566.240666137985</v>
      </c>
      <c r="R29" s="7">
        <v>19074.57740384615</v>
      </c>
    </row>
    <row r="30" spans="1:18" x14ac:dyDescent="0.35">
      <c r="A30" s="9" t="s">
        <v>114</v>
      </c>
      <c r="B30" s="9" t="s">
        <v>109</v>
      </c>
      <c r="C30" s="9" t="s">
        <v>106</v>
      </c>
      <c r="D30" s="9" t="s">
        <v>107</v>
      </c>
      <c r="E30" s="15">
        <v>3.33</v>
      </c>
      <c r="F30" s="12">
        <v>4752</v>
      </c>
      <c r="G30" s="12">
        <v>4752</v>
      </c>
      <c r="H30" s="12">
        <v>4413</v>
      </c>
      <c r="I30" s="12">
        <v>339</v>
      </c>
      <c r="J30" s="16">
        <v>7.1300000000000002E-2</v>
      </c>
      <c r="K30" s="10">
        <v>12394991.689999999</v>
      </c>
      <c r="L30" s="10">
        <v>11517581.41</v>
      </c>
      <c r="M30" s="10">
        <v>877410.28</v>
      </c>
      <c r="N30" s="16">
        <v>7.0787484327873726E-2</v>
      </c>
      <c r="O30" s="16">
        <v>0.92921251567212637</v>
      </c>
      <c r="P30" s="10">
        <v>2608.37</v>
      </c>
      <c r="Q30" s="10">
        <v>2609.9210083843191</v>
      </c>
      <c r="R30" s="10">
        <v>2588.2309144542769</v>
      </c>
    </row>
    <row r="31" spans="1:18" x14ac:dyDescent="0.35">
      <c r="A31" s="6" t="s">
        <v>114</v>
      </c>
      <c r="B31" s="6" t="s">
        <v>105</v>
      </c>
      <c r="C31" s="6" t="s">
        <v>106</v>
      </c>
      <c r="D31" s="6" t="s">
        <v>107</v>
      </c>
      <c r="E31" s="17">
        <v>3.27</v>
      </c>
      <c r="F31" s="13">
        <v>4259</v>
      </c>
      <c r="G31" s="13">
        <v>4259</v>
      </c>
      <c r="H31" s="13">
        <v>3937</v>
      </c>
      <c r="I31" s="13">
        <v>322</v>
      </c>
      <c r="J31" s="18">
        <v>7.5600000000000001E-2</v>
      </c>
      <c r="K31" s="7">
        <v>11100131.640000001</v>
      </c>
      <c r="L31" s="7">
        <v>10283481.720000001</v>
      </c>
      <c r="M31" s="7">
        <v>816649.92</v>
      </c>
      <c r="N31" s="18">
        <v>7.3571192350291803E-2</v>
      </c>
      <c r="O31" s="18">
        <v>0.92642880764970825</v>
      </c>
      <c r="P31" s="7">
        <v>2606.2800000000002</v>
      </c>
      <c r="Q31" s="7">
        <v>2612.0095808991618</v>
      </c>
      <c r="R31" s="7">
        <v>2536.1798757763981</v>
      </c>
    </row>
    <row r="32" spans="1:18" x14ac:dyDescent="0.35">
      <c r="A32" s="9" t="s">
        <v>114</v>
      </c>
      <c r="B32" s="9" t="s">
        <v>110</v>
      </c>
      <c r="C32" s="9" t="s">
        <v>106</v>
      </c>
      <c r="D32" s="9" t="s">
        <v>107</v>
      </c>
      <c r="E32" s="15">
        <v>3.34</v>
      </c>
      <c r="F32" s="12">
        <v>4046</v>
      </c>
      <c r="G32" s="12">
        <v>4046</v>
      </c>
      <c r="H32" s="12">
        <v>3736</v>
      </c>
      <c r="I32" s="12">
        <v>310</v>
      </c>
      <c r="J32" s="16">
        <v>7.6600000000000001E-2</v>
      </c>
      <c r="K32" s="10">
        <v>10625191.960000001</v>
      </c>
      <c r="L32" s="10">
        <v>9814572.9800000004</v>
      </c>
      <c r="M32" s="10">
        <v>810618.98</v>
      </c>
      <c r="N32" s="16">
        <v>7.6292172701602642E-2</v>
      </c>
      <c r="O32" s="16">
        <v>0.92370782729839729</v>
      </c>
      <c r="P32" s="10">
        <v>2626.1</v>
      </c>
      <c r="Q32" s="10">
        <v>2627.0270289079231</v>
      </c>
      <c r="R32" s="10">
        <v>2614.8999354838711</v>
      </c>
    </row>
    <row r="33" spans="1:18" x14ac:dyDescent="0.35">
      <c r="A33" s="6" t="s">
        <v>114</v>
      </c>
      <c r="B33" s="6" t="s">
        <v>108</v>
      </c>
      <c r="C33" s="6" t="s">
        <v>106</v>
      </c>
      <c r="D33" s="6" t="s">
        <v>107</v>
      </c>
      <c r="E33" s="17">
        <v>3.28</v>
      </c>
      <c r="F33" s="13">
        <v>4020</v>
      </c>
      <c r="G33" s="13">
        <v>4020</v>
      </c>
      <c r="H33" s="13">
        <v>3691</v>
      </c>
      <c r="I33" s="13">
        <v>329</v>
      </c>
      <c r="J33" s="18">
        <v>8.1799999999999998E-2</v>
      </c>
      <c r="K33" s="7">
        <v>10539120.710000001</v>
      </c>
      <c r="L33" s="7">
        <v>9731478.0800000001</v>
      </c>
      <c r="M33" s="7">
        <v>807642.63</v>
      </c>
      <c r="N33" s="18">
        <v>7.663282850851795E-2</v>
      </c>
      <c r="O33" s="18">
        <v>0.92336717149148195</v>
      </c>
      <c r="P33" s="7">
        <v>2621.67</v>
      </c>
      <c r="Q33" s="7">
        <v>2636.5424221078301</v>
      </c>
      <c r="R33" s="7">
        <v>2454.8408206686931</v>
      </c>
    </row>
    <row r="34" spans="1:18" x14ac:dyDescent="0.35">
      <c r="A34" s="9" t="s">
        <v>114</v>
      </c>
      <c r="B34" s="9" t="s">
        <v>109</v>
      </c>
      <c r="C34" s="9" t="s">
        <v>111</v>
      </c>
      <c r="D34" s="9" t="s">
        <v>107</v>
      </c>
      <c r="E34" s="15">
        <v>3.35</v>
      </c>
      <c r="F34" s="12">
        <v>3442</v>
      </c>
      <c r="G34" s="12">
        <v>3442</v>
      </c>
      <c r="H34" s="12">
        <v>3170</v>
      </c>
      <c r="I34" s="12">
        <v>272</v>
      </c>
      <c r="J34" s="16">
        <v>7.9000000000000001E-2</v>
      </c>
      <c r="K34" s="10">
        <v>9070403.6199999992</v>
      </c>
      <c r="L34" s="10">
        <v>8335821.0499999998</v>
      </c>
      <c r="M34" s="10">
        <v>734582.57</v>
      </c>
      <c r="N34" s="16">
        <v>8.0986756573904264E-2</v>
      </c>
      <c r="O34" s="16">
        <v>0.9190132434260958</v>
      </c>
      <c r="P34" s="10">
        <v>2635.21</v>
      </c>
      <c r="Q34" s="10">
        <v>2629.5965457413249</v>
      </c>
      <c r="R34" s="10">
        <v>2700.6712132352941</v>
      </c>
    </row>
    <row r="35" spans="1:18" x14ac:dyDescent="0.35">
      <c r="A35" s="6" t="s">
        <v>114</v>
      </c>
      <c r="B35" s="6" t="s">
        <v>105</v>
      </c>
      <c r="C35" s="6" t="s">
        <v>111</v>
      </c>
      <c r="D35" s="6" t="s">
        <v>107</v>
      </c>
      <c r="E35" s="17">
        <v>3.33</v>
      </c>
      <c r="F35" s="13">
        <v>3117</v>
      </c>
      <c r="G35" s="13">
        <v>3117</v>
      </c>
      <c r="H35" s="13">
        <v>2869</v>
      </c>
      <c r="I35" s="13">
        <v>248</v>
      </c>
      <c r="J35" s="18">
        <v>7.9600000000000004E-2</v>
      </c>
      <c r="K35" s="7">
        <v>8180212.9000000004</v>
      </c>
      <c r="L35" s="7">
        <v>7554807.4400000004</v>
      </c>
      <c r="M35" s="7">
        <v>625405.46</v>
      </c>
      <c r="N35" s="18">
        <v>7.6453445362039407E-2</v>
      </c>
      <c r="O35" s="18">
        <v>0.92354655463796054</v>
      </c>
      <c r="P35" s="7">
        <v>2624.39</v>
      </c>
      <c r="Q35" s="7">
        <v>2633.2545974207042</v>
      </c>
      <c r="R35" s="7">
        <v>2521.796209677419</v>
      </c>
    </row>
    <row r="36" spans="1:18" x14ac:dyDescent="0.35">
      <c r="A36" s="9" t="s">
        <v>114</v>
      </c>
      <c r="B36" s="9" t="s">
        <v>110</v>
      </c>
      <c r="C36" s="9" t="s">
        <v>111</v>
      </c>
      <c r="D36" s="9" t="s">
        <v>107</v>
      </c>
      <c r="E36" s="15">
        <v>3.27</v>
      </c>
      <c r="F36" s="12">
        <v>3042</v>
      </c>
      <c r="G36" s="12">
        <v>3042</v>
      </c>
      <c r="H36" s="12">
        <v>2811</v>
      </c>
      <c r="I36" s="12">
        <v>231</v>
      </c>
      <c r="J36" s="16">
        <v>7.5899999999999995E-2</v>
      </c>
      <c r="K36" s="10">
        <v>7972046.2599999998</v>
      </c>
      <c r="L36" s="10">
        <v>7360670.9199999999</v>
      </c>
      <c r="M36" s="10">
        <v>611375.34</v>
      </c>
      <c r="N36" s="16">
        <v>7.6689888650997365E-2</v>
      </c>
      <c r="O36" s="16">
        <v>0.92331011134900265</v>
      </c>
      <c r="P36" s="10">
        <v>2620.66</v>
      </c>
      <c r="Q36" s="10">
        <v>2618.5239843472068</v>
      </c>
      <c r="R36" s="10">
        <v>2646.6464935064928</v>
      </c>
    </row>
    <row r="37" spans="1:18" x14ac:dyDescent="0.35">
      <c r="A37" s="6" t="s">
        <v>114</v>
      </c>
      <c r="B37" s="6" t="s">
        <v>109</v>
      </c>
      <c r="C37" s="6" t="s">
        <v>106</v>
      </c>
      <c r="D37" s="6" t="s">
        <v>112</v>
      </c>
      <c r="E37" s="17">
        <v>9.41</v>
      </c>
      <c r="F37" s="13">
        <v>2825</v>
      </c>
      <c r="G37" s="13">
        <v>2825</v>
      </c>
      <c r="H37" s="13">
        <v>2600</v>
      </c>
      <c r="I37" s="13">
        <v>225</v>
      </c>
      <c r="J37" s="18">
        <v>7.9600000000000004E-2</v>
      </c>
      <c r="K37" s="7">
        <v>7238955.3899999997</v>
      </c>
      <c r="L37" s="7">
        <v>6633017.8700000001</v>
      </c>
      <c r="M37" s="7">
        <v>605937.52</v>
      </c>
      <c r="N37" s="18">
        <v>8.3705104860440388E-2</v>
      </c>
      <c r="O37" s="18">
        <v>0.91629489513955964</v>
      </c>
      <c r="P37" s="7">
        <v>2562.46</v>
      </c>
      <c r="Q37" s="7">
        <v>2551.1607192307688</v>
      </c>
      <c r="R37" s="7">
        <v>2693.0556444444451</v>
      </c>
    </row>
    <row r="38" spans="1:18" x14ac:dyDescent="0.35">
      <c r="A38" s="9" t="s">
        <v>115</v>
      </c>
      <c r="B38" s="9" t="s">
        <v>110</v>
      </c>
      <c r="C38" s="9" t="s">
        <v>106</v>
      </c>
      <c r="D38" s="9" t="s">
        <v>107</v>
      </c>
      <c r="E38" s="15">
        <v>3.29</v>
      </c>
      <c r="F38" s="12">
        <v>2359</v>
      </c>
      <c r="G38" s="12">
        <v>2359</v>
      </c>
      <c r="H38" s="12">
        <v>2155</v>
      </c>
      <c r="I38" s="12">
        <v>204</v>
      </c>
      <c r="J38" s="16">
        <v>8.6500000000000007E-2</v>
      </c>
      <c r="K38" s="10">
        <v>6228915.0899999999</v>
      </c>
      <c r="L38" s="10">
        <v>5669521.2400000002</v>
      </c>
      <c r="M38" s="10">
        <v>559393.85</v>
      </c>
      <c r="N38" s="16">
        <v>8.9805984175006626E-2</v>
      </c>
      <c r="O38" s="16">
        <v>0.91019401582499337</v>
      </c>
      <c r="P38" s="10">
        <v>2640.49</v>
      </c>
      <c r="Q38" s="10">
        <v>2630.8683248259858</v>
      </c>
      <c r="R38" s="10">
        <v>2742.126715686275</v>
      </c>
    </row>
    <row r="39" spans="1:18" x14ac:dyDescent="0.35">
      <c r="A39" s="6" t="s">
        <v>114</v>
      </c>
      <c r="B39" s="6" t="s">
        <v>108</v>
      </c>
      <c r="C39" s="6" t="s">
        <v>111</v>
      </c>
      <c r="D39" s="6" t="s">
        <v>107</v>
      </c>
      <c r="E39" s="17">
        <v>3.3</v>
      </c>
      <c r="F39" s="13">
        <v>2931</v>
      </c>
      <c r="G39" s="13">
        <v>2931</v>
      </c>
      <c r="H39" s="13">
        <v>2715</v>
      </c>
      <c r="I39" s="13">
        <v>216</v>
      </c>
      <c r="J39" s="18">
        <v>7.3700000000000002E-2</v>
      </c>
      <c r="K39" s="7">
        <v>7898414.9500000002</v>
      </c>
      <c r="L39" s="7">
        <v>7354456.2199999997</v>
      </c>
      <c r="M39" s="7">
        <v>543958.73</v>
      </c>
      <c r="N39" s="18">
        <v>6.8869353337785821E-2</v>
      </c>
      <c r="O39" s="18">
        <v>0.93113064666221423</v>
      </c>
      <c r="P39" s="7">
        <v>2694.79</v>
      </c>
      <c r="Q39" s="7">
        <v>2708.8236537753219</v>
      </c>
      <c r="R39" s="7">
        <v>2518.3274537037041</v>
      </c>
    </row>
    <row r="40" spans="1:18" x14ac:dyDescent="0.35">
      <c r="A40" s="9" t="s">
        <v>114</v>
      </c>
      <c r="B40" s="9" t="s">
        <v>110</v>
      </c>
      <c r="C40" s="9" t="s">
        <v>106</v>
      </c>
      <c r="D40" s="9" t="s">
        <v>112</v>
      </c>
      <c r="E40" s="15">
        <v>9.43</v>
      </c>
      <c r="F40" s="12">
        <v>2545</v>
      </c>
      <c r="G40" s="12">
        <v>2545</v>
      </c>
      <c r="H40" s="12">
        <v>2339</v>
      </c>
      <c r="I40" s="12">
        <v>206</v>
      </c>
      <c r="J40" s="16">
        <v>8.09E-2</v>
      </c>
      <c r="K40" s="10">
        <v>6596958.7000000002</v>
      </c>
      <c r="L40" s="10">
        <v>6065578.0199999996</v>
      </c>
      <c r="M40" s="10">
        <v>531380.68000000005</v>
      </c>
      <c r="N40" s="16">
        <v>8.0549341623133083E-2</v>
      </c>
      <c r="O40" s="16">
        <v>0.91945065837686679</v>
      </c>
      <c r="P40" s="10">
        <v>2592.13</v>
      </c>
      <c r="Q40" s="10">
        <v>2593.2355793073962</v>
      </c>
      <c r="R40" s="10">
        <v>2579.5178640776699</v>
      </c>
    </row>
    <row r="41" spans="1:18" x14ac:dyDescent="0.35">
      <c r="A41" s="6" t="s">
        <v>114</v>
      </c>
      <c r="B41" s="6" t="s">
        <v>105</v>
      </c>
      <c r="C41" s="6" t="s">
        <v>106</v>
      </c>
      <c r="D41" s="6" t="s">
        <v>112</v>
      </c>
      <c r="E41" s="17">
        <v>9.36</v>
      </c>
      <c r="F41" s="13">
        <v>2504</v>
      </c>
      <c r="G41" s="13">
        <v>2504</v>
      </c>
      <c r="H41" s="13">
        <v>2302</v>
      </c>
      <c r="I41" s="13">
        <v>202</v>
      </c>
      <c r="J41" s="18">
        <v>8.0700000000000008E-2</v>
      </c>
      <c r="K41" s="7">
        <v>6552982.6399999997</v>
      </c>
      <c r="L41" s="7">
        <v>6027097.0800000001</v>
      </c>
      <c r="M41" s="7">
        <v>525885.56000000006</v>
      </c>
      <c r="N41" s="18">
        <v>8.0251328118885426E-2</v>
      </c>
      <c r="O41" s="18">
        <v>0.91974867188111464</v>
      </c>
      <c r="P41" s="7">
        <v>2617.0100000000002</v>
      </c>
      <c r="Q41" s="7">
        <v>2618.2002953953079</v>
      </c>
      <c r="R41" s="7">
        <v>2603.3938613861392</v>
      </c>
    </row>
    <row r="42" spans="1:18" x14ac:dyDescent="0.35">
      <c r="A42" s="9" t="s">
        <v>115</v>
      </c>
      <c r="B42" s="9" t="s">
        <v>109</v>
      </c>
      <c r="C42" s="9" t="s">
        <v>106</v>
      </c>
      <c r="D42" s="9" t="s">
        <v>107</v>
      </c>
      <c r="E42" s="15">
        <v>3.27</v>
      </c>
      <c r="F42" s="12">
        <v>2688</v>
      </c>
      <c r="G42" s="12">
        <v>2688</v>
      </c>
      <c r="H42" s="12">
        <v>2483</v>
      </c>
      <c r="I42" s="12">
        <v>205</v>
      </c>
      <c r="J42" s="16">
        <v>7.6299999999999993E-2</v>
      </c>
      <c r="K42" s="10">
        <v>6976414.1600000001</v>
      </c>
      <c r="L42" s="10">
        <v>6452077.6299999999</v>
      </c>
      <c r="M42" s="10">
        <v>524336.53</v>
      </c>
      <c r="N42" s="16">
        <v>7.5158457908984011E-2</v>
      </c>
      <c r="O42" s="16">
        <v>0.92484154209101599</v>
      </c>
      <c r="P42" s="10">
        <v>2595.39</v>
      </c>
      <c r="Q42" s="10">
        <v>2598.5008578332659</v>
      </c>
      <c r="R42" s="10">
        <v>2557.739170731707</v>
      </c>
    </row>
    <row r="43" spans="1:18" x14ac:dyDescent="0.35">
      <c r="A43" s="6" t="s">
        <v>115</v>
      </c>
      <c r="B43" s="6" t="s">
        <v>105</v>
      </c>
      <c r="C43" s="6" t="s">
        <v>106</v>
      </c>
      <c r="D43" s="6" t="s">
        <v>107</v>
      </c>
      <c r="E43" s="17">
        <v>3.33</v>
      </c>
      <c r="F43" s="13">
        <v>2442</v>
      </c>
      <c r="G43" s="13">
        <v>2442</v>
      </c>
      <c r="H43" s="13">
        <v>2255</v>
      </c>
      <c r="I43" s="13">
        <v>187</v>
      </c>
      <c r="J43" s="18">
        <v>7.6600000000000001E-2</v>
      </c>
      <c r="K43" s="7">
        <v>6346156.8899999997</v>
      </c>
      <c r="L43" s="7">
        <v>5822801.9000000004</v>
      </c>
      <c r="M43" s="7">
        <v>523354.99</v>
      </c>
      <c r="N43" s="18">
        <v>8.2468019475642057E-2</v>
      </c>
      <c r="O43" s="18">
        <v>0.91753198052435803</v>
      </c>
      <c r="P43" s="7">
        <v>2598.75</v>
      </c>
      <c r="Q43" s="7">
        <v>2582.1737915742801</v>
      </c>
      <c r="R43" s="7">
        <v>2798.6897860962572</v>
      </c>
    </row>
    <row r="44" spans="1:18" x14ac:dyDescent="0.35">
      <c r="A44" s="9" t="s">
        <v>114</v>
      </c>
      <c r="B44" s="9" t="s">
        <v>108</v>
      </c>
      <c r="C44" s="9" t="s">
        <v>106</v>
      </c>
      <c r="D44" s="9" t="s">
        <v>112</v>
      </c>
      <c r="E44" s="15">
        <v>9.42</v>
      </c>
      <c r="F44" s="12">
        <v>2367</v>
      </c>
      <c r="G44" s="12">
        <v>2367</v>
      </c>
      <c r="H44" s="12">
        <v>2182</v>
      </c>
      <c r="I44" s="12">
        <v>185</v>
      </c>
      <c r="J44" s="16">
        <v>7.8200000000000006E-2</v>
      </c>
      <c r="K44" s="10">
        <v>6323382.5700000003</v>
      </c>
      <c r="L44" s="10">
        <v>5844534.4800000004</v>
      </c>
      <c r="M44" s="10">
        <v>478848.09</v>
      </c>
      <c r="N44" s="16">
        <v>7.5726572716285925E-2</v>
      </c>
      <c r="O44" s="16">
        <v>0.92427342728371409</v>
      </c>
      <c r="P44" s="10">
        <v>2671.48</v>
      </c>
      <c r="Q44" s="10">
        <v>2678.5217598533459</v>
      </c>
      <c r="R44" s="10">
        <v>2588.368054054054</v>
      </c>
    </row>
    <row r="45" spans="1:18" x14ac:dyDescent="0.35">
      <c r="A45" s="6" t="s">
        <v>115</v>
      </c>
      <c r="B45" s="6" t="s">
        <v>108</v>
      </c>
      <c r="C45" s="6" t="s">
        <v>106</v>
      </c>
      <c r="D45" s="6" t="s">
        <v>107</v>
      </c>
      <c r="E45" s="17">
        <v>3.29</v>
      </c>
      <c r="F45" s="13">
        <v>2241</v>
      </c>
      <c r="G45" s="13">
        <v>2241</v>
      </c>
      <c r="H45" s="13">
        <v>2054</v>
      </c>
      <c r="I45" s="13">
        <v>187</v>
      </c>
      <c r="J45" s="18">
        <v>8.3400000000000002E-2</v>
      </c>
      <c r="K45" s="7">
        <v>5981670.29</v>
      </c>
      <c r="L45" s="7">
        <v>5507173.8799999999</v>
      </c>
      <c r="M45" s="7">
        <v>474496.41</v>
      </c>
      <c r="N45" s="18">
        <v>7.9325069252521432E-2</v>
      </c>
      <c r="O45" s="18">
        <v>0.92067493074747864</v>
      </c>
      <c r="P45" s="7">
        <v>2669.2</v>
      </c>
      <c r="Q45" s="7">
        <v>2681.1946835443041</v>
      </c>
      <c r="R45" s="7">
        <v>2537.4139572192512</v>
      </c>
    </row>
    <row r="46" spans="1:18" x14ac:dyDescent="0.35">
      <c r="A46" s="9" t="s">
        <v>114</v>
      </c>
      <c r="B46" s="9" t="s">
        <v>109</v>
      </c>
      <c r="C46" s="9" t="s">
        <v>111</v>
      </c>
      <c r="D46" s="9" t="s">
        <v>112</v>
      </c>
      <c r="E46" s="15">
        <v>9.34</v>
      </c>
      <c r="F46" s="12">
        <v>1992</v>
      </c>
      <c r="G46" s="12">
        <v>1992</v>
      </c>
      <c r="H46" s="12">
        <v>1815</v>
      </c>
      <c r="I46" s="12">
        <v>177</v>
      </c>
      <c r="J46" s="16">
        <v>8.8900000000000007E-2</v>
      </c>
      <c r="K46" s="10">
        <v>5185224.16</v>
      </c>
      <c r="L46" s="10">
        <v>4718287.1900000004</v>
      </c>
      <c r="M46" s="10">
        <v>466936.97</v>
      </c>
      <c r="N46" s="16">
        <v>9.0051453050392319E-2</v>
      </c>
      <c r="O46" s="16">
        <v>0.9099485469496077</v>
      </c>
      <c r="P46" s="10">
        <v>2603.02</v>
      </c>
      <c r="Q46" s="10">
        <v>2599.607267217631</v>
      </c>
      <c r="R46" s="10">
        <v>2638.0619774011302</v>
      </c>
    </row>
    <row r="47" spans="1:18" x14ac:dyDescent="0.35">
      <c r="A47" s="6" t="s">
        <v>114</v>
      </c>
      <c r="B47" s="6" t="s">
        <v>105</v>
      </c>
      <c r="C47" s="6" t="s">
        <v>111</v>
      </c>
      <c r="D47" s="6" t="s">
        <v>112</v>
      </c>
      <c r="E47" s="17">
        <v>9.34</v>
      </c>
      <c r="F47" s="13">
        <v>1901</v>
      </c>
      <c r="G47" s="13">
        <v>1901</v>
      </c>
      <c r="H47" s="13">
        <v>1746</v>
      </c>
      <c r="I47" s="13">
        <v>155</v>
      </c>
      <c r="J47" s="18">
        <v>8.1500000000000003E-2</v>
      </c>
      <c r="K47" s="7">
        <v>5029448.22</v>
      </c>
      <c r="L47" s="7">
        <v>4584859.22</v>
      </c>
      <c r="M47" s="7">
        <v>444589</v>
      </c>
      <c r="N47" s="18">
        <v>8.8397172125573659E-2</v>
      </c>
      <c r="O47" s="18">
        <v>0.91160282787442637</v>
      </c>
      <c r="P47" s="7">
        <v>2645.69</v>
      </c>
      <c r="Q47" s="7">
        <v>2625.9216609392902</v>
      </c>
      <c r="R47" s="7">
        <v>2868.3161290322578</v>
      </c>
    </row>
    <row r="48" spans="1:18" x14ac:dyDescent="0.35">
      <c r="A48" s="9" t="s">
        <v>115</v>
      </c>
      <c r="B48" s="9" t="s">
        <v>109</v>
      </c>
      <c r="C48" s="9" t="s">
        <v>111</v>
      </c>
      <c r="D48" s="9" t="s">
        <v>107</v>
      </c>
      <c r="E48" s="15">
        <v>3.28</v>
      </c>
      <c r="F48" s="12">
        <v>1867</v>
      </c>
      <c r="G48" s="12">
        <v>1867</v>
      </c>
      <c r="H48" s="12">
        <v>1709</v>
      </c>
      <c r="I48" s="12">
        <v>158</v>
      </c>
      <c r="J48" s="16">
        <v>8.4600000000000009E-2</v>
      </c>
      <c r="K48" s="10">
        <v>4967694.6900000004</v>
      </c>
      <c r="L48" s="10">
        <v>4557670.4800000004</v>
      </c>
      <c r="M48" s="10">
        <v>410024.21</v>
      </c>
      <c r="N48" s="16">
        <v>8.2538125949121077E-2</v>
      </c>
      <c r="O48" s="16">
        <v>0.91746187405087898</v>
      </c>
      <c r="P48" s="10">
        <v>2660.79</v>
      </c>
      <c r="Q48" s="10">
        <v>2666.8639438268001</v>
      </c>
      <c r="R48" s="10">
        <v>2595.0899367088609</v>
      </c>
    </row>
    <row r="49" spans="1:18" x14ac:dyDescent="0.35">
      <c r="A49" s="6" t="s">
        <v>115</v>
      </c>
      <c r="B49" s="6" t="s">
        <v>105</v>
      </c>
      <c r="C49" s="6" t="s">
        <v>111</v>
      </c>
      <c r="D49" s="6" t="s">
        <v>107</v>
      </c>
      <c r="E49" s="17">
        <v>3.24</v>
      </c>
      <c r="F49" s="13">
        <v>1760</v>
      </c>
      <c r="G49" s="13">
        <v>1760</v>
      </c>
      <c r="H49" s="13">
        <v>1615</v>
      </c>
      <c r="I49" s="13">
        <v>145</v>
      </c>
      <c r="J49" s="18">
        <v>8.2400000000000001E-2</v>
      </c>
      <c r="K49" s="7">
        <v>4591083.67</v>
      </c>
      <c r="L49" s="7">
        <v>4212420.74</v>
      </c>
      <c r="M49" s="7">
        <v>378662.93</v>
      </c>
      <c r="N49" s="18">
        <v>8.2477897859787846E-2</v>
      </c>
      <c r="O49" s="18">
        <v>0.91752210214021224</v>
      </c>
      <c r="P49" s="7">
        <v>2608.5700000000002</v>
      </c>
      <c r="Q49" s="7">
        <v>2608.3100557275538</v>
      </c>
      <c r="R49" s="7">
        <v>2611.4684827586211</v>
      </c>
    </row>
    <row r="50" spans="1:18" x14ac:dyDescent="0.35">
      <c r="A50" s="9" t="s">
        <v>114</v>
      </c>
      <c r="B50" s="9" t="s">
        <v>108</v>
      </c>
      <c r="C50" s="9" t="s">
        <v>111</v>
      </c>
      <c r="D50" s="9" t="s">
        <v>112</v>
      </c>
      <c r="E50" s="15">
        <v>9.2799999999999994</v>
      </c>
      <c r="F50" s="12">
        <v>1685</v>
      </c>
      <c r="G50" s="12">
        <v>1685</v>
      </c>
      <c r="H50" s="12">
        <v>1549</v>
      </c>
      <c r="I50" s="12">
        <v>136</v>
      </c>
      <c r="J50" s="16">
        <v>8.0700000000000008E-2</v>
      </c>
      <c r="K50" s="10">
        <v>4422421.55</v>
      </c>
      <c r="L50" s="10">
        <v>4057067.53</v>
      </c>
      <c r="M50" s="10">
        <v>365354.02</v>
      </c>
      <c r="N50" s="16">
        <v>8.2614019461803689E-2</v>
      </c>
      <c r="O50" s="16">
        <v>0.91738598053819631</v>
      </c>
      <c r="P50" s="10">
        <v>2624.58</v>
      </c>
      <c r="Q50" s="10">
        <v>2619.1526985151709</v>
      </c>
      <c r="R50" s="10">
        <v>2686.4266176470592</v>
      </c>
    </row>
    <row r="51" spans="1:18" x14ac:dyDescent="0.35">
      <c r="A51" s="6" t="s">
        <v>115</v>
      </c>
      <c r="B51" s="6" t="s">
        <v>108</v>
      </c>
      <c r="C51" s="6" t="s">
        <v>111</v>
      </c>
      <c r="D51" s="6" t="s">
        <v>107</v>
      </c>
      <c r="E51" s="17">
        <v>3.3</v>
      </c>
      <c r="F51" s="13">
        <v>1611</v>
      </c>
      <c r="G51" s="13">
        <v>1611</v>
      </c>
      <c r="H51" s="13">
        <v>1473</v>
      </c>
      <c r="I51" s="13">
        <v>138</v>
      </c>
      <c r="J51" s="18">
        <v>8.5699999999999998E-2</v>
      </c>
      <c r="K51" s="7">
        <v>4181382.77</v>
      </c>
      <c r="L51" s="7">
        <v>3818091.68</v>
      </c>
      <c r="M51" s="7">
        <v>363291.09</v>
      </c>
      <c r="N51" s="18">
        <v>8.6883002581464239E-2</v>
      </c>
      <c r="O51" s="18">
        <v>0.91311699741853569</v>
      </c>
      <c r="P51" s="7">
        <v>2595.52</v>
      </c>
      <c r="Q51" s="7">
        <v>2592.0513781398508</v>
      </c>
      <c r="R51" s="7">
        <v>2632.5441304347828</v>
      </c>
    </row>
    <row r="52" spans="1:18" x14ac:dyDescent="0.35">
      <c r="A52" s="9" t="s">
        <v>114</v>
      </c>
      <c r="B52" s="9" t="s">
        <v>110</v>
      </c>
      <c r="C52" s="9" t="s">
        <v>111</v>
      </c>
      <c r="D52" s="9" t="s">
        <v>112</v>
      </c>
      <c r="E52" s="15">
        <v>9.3699999999999992</v>
      </c>
      <c r="F52" s="12">
        <v>1703</v>
      </c>
      <c r="G52" s="12">
        <v>1703</v>
      </c>
      <c r="H52" s="12">
        <v>1565</v>
      </c>
      <c r="I52" s="12">
        <v>138</v>
      </c>
      <c r="J52" s="16">
        <v>8.1000000000000003E-2</v>
      </c>
      <c r="K52" s="10">
        <v>4387805.6100000003</v>
      </c>
      <c r="L52" s="10">
        <v>4027227.06</v>
      </c>
      <c r="M52" s="10">
        <v>360578.55</v>
      </c>
      <c r="N52" s="16">
        <v>8.2177421255450731E-2</v>
      </c>
      <c r="O52" s="16">
        <v>0.91782257874454909</v>
      </c>
      <c r="P52" s="10">
        <v>2576.52</v>
      </c>
      <c r="Q52" s="10">
        <v>2573.3080255591049</v>
      </c>
      <c r="R52" s="10">
        <v>2612.8880434782609</v>
      </c>
    </row>
    <row r="53" spans="1:18" x14ac:dyDescent="0.35">
      <c r="A53" s="6" t="s">
        <v>115</v>
      </c>
      <c r="B53" s="6" t="s">
        <v>110</v>
      </c>
      <c r="C53" s="6" t="s">
        <v>111</v>
      </c>
      <c r="D53" s="6" t="s">
        <v>107</v>
      </c>
      <c r="E53" s="17">
        <v>3.31</v>
      </c>
      <c r="F53" s="13">
        <v>1649</v>
      </c>
      <c r="G53" s="13">
        <v>1649</v>
      </c>
      <c r="H53" s="13">
        <v>1521</v>
      </c>
      <c r="I53" s="13">
        <v>128</v>
      </c>
      <c r="J53" s="18">
        <v>7.7600000000000002E-2</v>
      </c>
      <c r="K53" s="7">
        <v>4361546.17</v>
      </c>
      <c r="L53" s="7">
        <v>4030142.84</v>
      </c>
      <c r="M53" s="7">
        <v>331403.33</v>
      </c>
      <c r="N53" s="18">
        <v>7.5982992517536513E-2</v>
      </c>
      <c r="O53" s="18">
        <v>0.92401700748246351</v>
      </c>
      <c r="P53" s="7">
        <v>2644.96</v>
      </c>
      <c r="Q53" s="7">
        <v>2649.6665614727149</v>
      </c>
      <c r="R53" s="7">
        <v>2589.0885156250001</v>
      </c>
    </row>
    <row r="54" spans="1:18" x14ac:dyDescent="0.35">
      <c r="A54" s="9" t="s">
        <v>115</v>
      </c>
      <c r="B54" s="9" t="s">
        <v>110</v>
      </c>
      <c r="C54" s="9" t="s">
        <v>106</v>
      </c>
      <c r="D54" s="9" t="s">
        <v>112</v>
      </c>
      <c r="E54" s="15">
        <v>9.34</v>
      </c>
      <c r="F54" s="12">
        <v>1371</v>
      </c>
      <c r="G54" s="12">
        <v>1371</v>
      </c>
      <c r="H54" s="12">
        <v>1251</v>
      </c>
      <c r="I54" s="12">
        <v>120</v>
      </c>
      <c r="J54" s="16">
        <v>8.7499999999999994E-2</v>
      </c>
      <c r="K54" s="10">
        <v>3606293.8</v>
      </c>
      <c r="L54" s="10">
        <v>3307608.56</v>
      </c>
      <c r="M54" s="10">
        <v>298685.24</v>
      </c>
      <c r="N54" s="16">
        <v>8.2823324045312119E-2</v>
      </c>
      <c r="O54" s="16">
        <v>0.91717667595468799</v>
      </c>
      <c r="P54" s="10">
        <v>2630.41</v>
      </c>
      <c r="Q54" s="10">
        <v>2643.971670663469</v>
      </c>
      <c r="R54" s="10">
        <v>2489.043666666666</v>
      </c>
    </row>
    <row r="55" spans="1:18" x14ac:dyDescent="0.35">
      <c r="A55" s="6" t="s">
        <v>115</v>
      </c>
      <c r="B55" s="6" t="s">
        <v>109</v>
      </c>
      <c r="C55" s="6" t="s">
        <v>106</v>
      </c>
      <c r="D55" s="6" t="s">
        <v>112</v>
      </c>
      <c r="E55" s="17">
        <v>9.36</v>
      </c>
      <c r="F55" s="13">
        <v>1500</v>
      </c>
      <c r="G55" s="13">
        <v>1500</v>
      </c>
      <c r="H55" s="13">
        <v>1391</v>
      </c>
      <c r="I55" s="13">
        <v>109</v>
      </c>
      <c r="J55" s="18">
        <v>7.2700000000000001E-2</v>
      </c>
      <c r="K55" s="7">
        <v>3945180.23</v>
      </c>
      <c r="L55" s="7">
        <v>3661549.87</v>
      </c>
      <c r="M55" s="7">
        <v>283630.36</v>
      </c>
      <c r="N55" s="18">
        <v>7.1892877755802803E-2</v>
      </c>
      <c r="O55" s="18">
        <v>0.92810712224419722</v>
      </c>
      <c r="P55" s="7">
        <v>2630.12</v>
      </c>
      <c r="Q55" s="7">
        <v>2632.3147879223579</v>
      </c>
      <c r="R55" s="7">
        <v>2602.1133944954131</v>
      </c>
    </row>
    <row r="56" spans="1:18" x14ac:dyDescent="0.35">
      <c r="A56" s="9" t="s">
        <v>115</v>
      </c>
      <c r="B56" s="9" t="s">
        <v>105</v>
      </c>
      <c r="C56" s="9" t="s">
        <v>106</v>
      </c>
      <c r="D56" s="9" t="s">
        <v>112</v>
      </c>
      <c r="E56" s="15">
        <v>9.31</v>
      </c>
      <c r="F56" s="12">
        <v>1492</v>
      </c>
      <c r="G56" s="12">
        <v>1492</v>
      </c>
      <c r="H56" s="12">
        <v>1383</v>
      </c>
      <c r="I56" s="12">
        <v>109</v>
      </c>
      <c r="J56" s="16">
        <v>7.3099999999999998E-2</v>
      </c>
      <c r="K56" s="10">
        <v>3930313.77</v>
      </c>
      <c r="L56" s="10">
        <v>3649190.36</v>
      </c>
      <c r="M56" s="10">
        <v>281123.40999999997</v>
      </c>
      <c r="N56" s="16">
        <v>7.1526963609320177E-2</v>
      </c>
      <c r="O56" s="16">
        <v>0.92847303639067968</v>
      </c>
      <c r="P56" s="10">
        <v>2634.26</v>
      </c>
      <c r="Q56" s="10">
        <v>2638.604743311641</v>
      </c>
      <c r="R56" s="10">
        <v>2579.113853211009</v>
      </c>
    </row>
    <row r="57" spans="1:18" x14ac:dyDescent="0.35">
      <c r="A57" s="6" t="s">
        <v>115</v>
      </c>
      <c r="B57" s="6" t="s">
        <v>108</v>
      </c>
      <c r="C57" s="6" t="s">
        <v>106</v>
      </c>
      <c r="D57" s="6" t="s">
        <v>112</v>
      </c>
      <c r="E57" s="17">
        <v>9.33</v>
      </c>
      <c r="F57" s="13">
        <v>1348</v>
      </c>
      <c r="G57" s="13">
        <v>1348</v>
      </c>
      <c r="H57" s="13">
        <v>1245</v>
      </c>
      <c r="I57" s="13">
        <v>103</v>
      </c>
      <c r="J57" s="18">
        <v>7.6399999999999996E-2</v>
      </c>
      <c r="K57" s="7">
        <v>3505808.62</v>
      </c>
      <c r="L57" s="7">
        <v>3239881.64</v>
      </c>
      <c r="M57" s="7">
        <v>265926.98</v>
      </c>
      <c r="N57" s="18">
        <v>7.5853250654623575E-2</v>
      </c>
      <c r="O57" s="18">
        <v>0.92414674934537644</v>
      </c>
      <c r="P57" s="7">
        <v>2600.75</v>
      </c>
      <c r="Q57" s="7">
        <v>2602.3145702811248</v>
      </c>
      <c r="R57" s="7">
        <v>2581.8153398058248</v>
      </c>
    </row>
    <row r="58" spans="1:18" x14ac:dyDescent="0.35">
      <c r="A58" s="9" t="s">
        <v>114</v>
      </c>
      <c r="B58" s="9" t="s">
        <v>110</v>
      </c>
      <c r="C58" s="9" t="s">
        <v>106</v>
      </c>
      <c r="D58" s="9" t="s">
        <v>113</v>
      </c>
      <c r="E58" s="15">
        <v>18.420000000000002</v>
      </c>
      <c r="F58" s="12">
        <v>920</v>
      </c>
      <c r="G58" s="12">
        <v>920</v>
      </c>
      <c r="H58" s="12">
        <v>827</v>
      </c>
      <c r="I58" s="12">
        <v>93</v>
      </c>
      <c r="J58" s="16">
        <v>0.1011</v>
      </c>
      <c r="K58" s="10">
        <v>2375152.17</v>
      </c>
      <c r="L58" s="10">
        <v>2138023.67</v>
      </c>
      <c r="M58" s="10">
        <v>237128.5</v>
      </c>
      <c r="N58" s="16">
        <v>9.9837182221465828E-2</v>
      </c>
      <c r="O58" s="16">
        <v>0.90016281777853413</v>
      </c>
      <c r="P58" s="10">
        <v>2581.69</v>
      </c>
      <c r="Q58" s="10">
        <v>2585.2765054413539</v>
      </c>
      <c r="R58" s="10">
        <v>2549.7688172043008</v>
      </c>
    </row>
    <row r="59" spans="1:18" x14ac:dyDescent="0.35">
      <c r="A59" s="6" t="s">
        <v>115</v>
      </c>
      <c r="B59" s="6" t="s">
        <v>109</v>
      </c>
      <c r="C59" s="6" t="s">
        <v>111</v>
      </c>
      <c r="D59" s="6" t="s">
        <v>112</v>
      </c>
      <c r="E59" s="17">
        <v>9.35</v>
      </c>
      <c r="F59" s="13">
        <v>1177</v>
      </c>
      <c r="G59" s="13">
        <v>1177</v>
      </c>
      <c r="H59" s="13">
        <v>1090</v>
      </c>
      <c r="I59" s="13">
        <v>87</v>
      </c>
      <c r="J59" s="18">
        <v>7.3899999999999993E-2</v>
      </c>
      <c r="K59" s="7">
        <v>3033766.36</v>
      </c>
      <c r="L59" s="7">
        <v>2801250.42</v>
      </c>
      <c r="M59" s="7">
        <v>232515.94</v>
      </c>
      <c r="N59" s="18">
        <v>7.6642665389697315E-2</v>
      </c>
      <c r="O59" s="18">
        <v>0.92335733461030278</v>
      </c>
      <c r="P59" s="7">
        <v>2577.54</v>
      </c>
      <c r="Q59" s="7">
        <v>2569.9545137614682</v>
      </c>
      <c r="R59" s="7">
        <v>2672.5970114942529</v>
      </c>
    </row>
    <row r="60" spans="1:18" x14ac:dyDescent="0.35">
      <c r="A60" s="9" t="s">
        <v>115</v>
      </c>
      <c r="B60" s="9" t="s">
        <v>105</v>
      </c>
      <c r="C60" s="9" t="s">
        <v>111</v>
      </c>
      <c r="D60" s="9" t="s">
        <v>112</v>
      </c>
      <c r="E60" s="15">
        <v>9.5</v>
      </c>
      <c r="F60" s="12">
        <v>1030</v>
      </c>
      <c r="G60" s="12">
        <v>1030</v>
      </c>
      <c r="H60" s="12">
        <v>949</v>
      </c>
      <c r="I60" s="12">
        <v>81</v>
      </c>
      <c r="J60" s="16">
        <v>7.8600000000000003E-2</v>
      </c>
      <c r="K60" s="10">
        <v>2733466.21</v>
      </c>
      <c r="L60" s="10">
        <v>2523537.0099999998</v>
      </c>
      <c r="M60" s="10">
        <v>209929.2</v>
      </c>
      <c r="N60" s="16">
        <v>7.6799632361286813E-2</v>
      </c>
      <c r="O60" s="16">
        <v>0.92320036763871316</v>
      </c>
      <c r="P60" s="10">
        <v>2653.85</v>
      </c>
      <c r="Q60" s="10">
        <v>2659.1538566912541</v>
      </c>
      <c r="R60" s="10">
        <v>2591.718518518519</v>
      </c>
    </row>
    <row r="61" spans="1:18" x14ac:dyDescent="0.35">
      <c r="A61" s="6" t="s">
        <v>114</v>
      </c>
      <c r="B61" s="6" t="s">
        <v>109</v>
      </c>
      <c r="C61" s="6" t="s">
        <v>106</v>
      </c>
      <c r="D61" s="6" t="s">
        <v>113</v>
      </c>
      <c r="E61" s="17">
        <v>18.170000000000002</v>
      </c>
      <c r="F61" s="13">
        <v>1063</v>
      </c>
      <c r="G61" s="13">
        <v>1063</v>
      </c>
      <c r="H61" s="13">
        <v>985</v>
      </c>
      <c r="I61" s="13">
        <v>78</v>
      </c>
      <c r="J61" s="18">
        <v>7.3399999999999993E-2</v>
      </c>
      <c r="K61" s="7">
        <v>2823753.09</v>
      </c>
      <c r="L61" s="7">
        <v>2616190.7400000002</v>
      </c>
      <c r="M61" s="7">
        <v>207562.35</v>
      </c>
      <c r="N61" s="18">
        <v>7.3505842538095292E-2</v>
      </c>
      <c r="O61" s="18">
        <v>0.92649415746190489</v>
      </c>
      <c r="P61" s="7">
        <v>2656.4</v>
      </c>
      <c r="Q61" s="7">
        <v>2656.0312081218281</v>
      </c>
      <c r="R61" s="7">
        <v>2661.0557692307689</v>
      </c>
    </row>
    <row r="62" spans="1:18" x14ac:dyDescent="0.35">
      <c r="A62" s="9" t="s">
        <v>115</v>
      </c>
      <c r="B62" s="9" t="s">
        <v>108</v>
      </c>
      <c r="C62" s="9" t="s">
        <v>111</v>
      </c>
      <c r="D62" s="9" t="s">
        <v>112</v>
      </c>
      <c r="E62" s="15">
        <v>9.3000000000000007</v>
      </c>
      <c r="F62" s="12">
        <v>1034</v>
      </c>
      <c r="G62" s="12">
        <v>1034</v>
      </c>
      <c r="H62" s="12">
        <v>952</v>
      </c>
      <c r="I62" s="12">
        <v>82</v>
      </c>
      <c r="J62" s="16">
        <v>7.9299999999999995E-2</v>
      </c>
      <c r="K62" s="10">
        <v>2670756.61</v>
      </c>
      <c r="L62" s="10">
        <v>2487129.75</v>
      </c>
      <c r="M62" s="10">
        <v>183626.86</v>
      </c>
      <c r="N62" s="16">
        <v>6.8754621560217721E-2</v>
      </c>
      <c r="O62" s="16">
        <v>0.93124537843978228</v>
      </c>
      <c r="P62" s="10">
        <v>2582.94</v>
      </c>
      <c r="Q62" s="10">
        <v>2612.53125</v>
      </c>
      <c r="R62" s="10">
        <v>2239.3519512195121</v>
      </c>
    </row>
    <row r="63" spans="1:18" x14ac:dyDescent="0.35">
      <c r="A63" s="6" t="s">
        <v>115</v>
      </c>
      <c r="B63" s="6" t="s">
        <v>110</v>
      </c>
      <c r="C63" s="6" t="s">
        <v>111</v>
      </c>
      <c r="D63" s="6" t="s">
        <v>112</v>
      </c>
      <c r="E63" s="17">
        <v>9.36</v>
      </c>
      <c r="F63" s="13">
        <v>1033</v>
      </c>
      <c r="G63" s="13">
        <v>1033</v>
      </c>
      <c r="H63" s="13">
        <v>961</v>
      </c>
      <c r="I63" s="13">
        <v>72</v>
      </c>
      <c r="J63" s="18">
        <v>6.9699999999999998E-2</v>
      </c>
      <c r="K63" s="7">
        <v>2702198.4</v>
      </c>
      <c r="L63" s="7">
        <v>2521401.5499999998</v>
      </c>
      <c r="M63" s="7">
        <v>180796.85</v>
      </c>
      <c r="N63" s="18">
        <v>6.6907318870442684E-2</v>
      </c>
      <c r="O63" s="18">
        <v>0.93309268112955734</v>
      </c>
      <c r="P63" s="7">
        <v>2615.87</v>
      </c>
      <c r="Q63" s="7">
        <v>2623.7268990634748</v>
      </c>
      <c r="R63" s="7">
        <v>2511.067361111111</v>
      </c>
    </row>
    <row r="64" spans="1:18" x14ac:dyDescent="0.35">
      <c r="A64" s="9" t="s">
        <v>114</v>
      </c>
      <c r="B64" s="9" t="s">
        <v>110</v>
      </c>
      <c r="C64" s="9" t="s">
        <v>111</v>
      </c>
      <c r="D64" s="9" t="s">
        <v>113</v>
      </c>
      <c r="E64" s="15">
        <v>18.54</v>
      </c>
      <c r="F64" s="12">
        <v>692</v>
      </c>
      <c r="G64" s="12">
        <v>692</v>
      </c>
      <c r="H64" s="12">
        <v>625</v>
      </c>
      <c r="I64" s="12">
        <v>67</v>
      </c>
      <c r="J64" s="16">
        <v>9.6799999999999997E-2</v>
      </c>
      <c r="K64" s="10">
        <v>1813639.73</v>
      </c>
      <c r="L64" s="10">
        <v>1638922.12</v>
      </c>
      <c r="M64" s="10">
        <v>174717.61</v>
      </c>
      <c r="N64" s="16">
        <v>9.6335345498854946E-2</v>
      </c>
      <c r="O64" s="16">
        <v>0.90366465450114508</v>
      </c>
      <c r="P64" s="10">
        <v>2620.87</v>
      </c>
      <c r="Q64" s="10">
        <v>2622.275392</v>
      </c>
      <c r="R64" s="10">
        <v>2607.7255223880588</v>
      </c>
    </row>
    <row r="65" spans="1:18" x14ac:dyDescent="0.35">
      <c r="A65" s="6" t="s">
        <v>114</v>
      </c>
      <c r="B65" s="6" t="s">
        <v>105</v>
      </c>
      <c r="C65" s="6" t="s">
        <v>111</v>
      </c>
      <c r="D65" s="6" t="s">
        <v>113</v>
      </c>
      <c r="E65" s="17">
        <v>18.45</v>
      </c>
      <c r="F65" s="13">
        <v>689</v>
      </c>
      <c r="G65" s="13">
        <v>689</v>
      </c>
      <c r="H65" s="13">
        <v>631</v>
      </c>
      <c r="I65" s="13">
        <v>58</v>
      </c>
      <c r="J65" s="18">
        <v>8.4199999999999997E-2</v>
      </c>
      <c r="K65" s="7">
        <v>1803186.12</v>
      </c>
      <c r="L65" s="7">
        <v>1639096.31</v>
      </c>
      <c r="M65" s="7">
        <v>164089.81</v>
      </c>
      <c r="N65" s="18">
        <v>9.099992961347772E-2</v>
      </c>
      <c r="O65" s="18">
        <v>0.9090000703865222</v>
      </c>
      <c r="P65" s="7">
        <v>2617.11</v>
      </c>
      <c r="Q65" s="7">
        <v>2597.6169730586371</v>
      </c>
      <c r="R65" s="7">
        <v>2829.1346551724141</v>
      </c>
    </row>
    <row r="66" spans="1:18" x14ac:dyDescent="0.35">
      <c r="A66" s="9" t="s">
        <v>114</v>
      </c>
      <c r="B66" s="9" t="s">
        <v>108</v>
      </c>
      <c r="C66" s="9" t="s">
        <v>106</v>
      </c>
      <c r="D66" s="9" t="s">
        <v>113</v>
      </c>
      <c r="E66" s="15">
        <v>18.46</v>
      </c>
      <c r="F66" s="12">
        <v>880</v>
      </c>
      <c r="G66" s="12">
        <v>880</v>
      </c>
      <c r="H66" s="12">
        <v>819</v>
      </c>
      <c r="I66" s="12">
        <v>61</v>
      </c>
      <c r="J66" s="16">
        <v>6.93E-2</v>
      </c>
      <c r="K66" s="10">
        <v>2335537.86</v>
      </c>
      <c r="L66" s="10">
        <v>2174151.15</v>
      </c>
      <c r="M66" s="10">
        <v>161386.71</v>
      </c>
      <c r="N66" s="16">
        <v>6.9100446952292185E-2</v>
      </c>
      <c r="O66" s="16">
        <v>0.93089955304770777</v>
      </c>
      <c r="P66" s="10">
        <v>2654.02</v>
      </c>
      <c r="Q66" s="10">
        <v>2654.641208791209</v>
      </c>
      <c r="R66" s="10">
        <v>2645.683770491803</v>
      </c>
    </row>
    <row r="67" spans="1:18" x14ac:dyDescent="0.35">
      <c r="A67" s="6" t="s">
        <v>114</v>
      </c>
      <c r="B67" s="6" t="s">
        <v>105</v>
      </c>
      <c r="C67" s="6" t="s">
        <v>106</v>
      </c>
      <c r="D67" s="6" t="s">
        <v>113</v>
      </c>
      <c r="E67" s="17">
        <v>18.23</v>
      </c>
      <c r="F67" s="13">
        <v>939</v>
      </c>
      <c r="G67" s="13">
        <v>939</v>
      </c>
      <c r="H67" s="13">
        <v>871</v>
      </c>
      <c r="I67" s="13">
        <v>68</v>
      </c>
      <c r="J67" s="18">
        <v>7.2400000000000006E-2</v>
      </c>
      <c r="K67" s="7">
        <v>2406194.69</v>
      </c>
      <c r="L67" s="7">
        <v>2246225.63</v>
      </c>
      <c r="M67" s="7">
        <v>159969.06</v>
      </c>
      <c r="N67" s="18">
        <v>6.6482176469269821E-2</v>
      </c>
      <c r="O67" s="18">
        <v>0.9335178235307301</v>
      </c>
      <c r="P67" s="7">
        <v>2562.5100000000002</v>
      </c>
      <c r="Q67" s="7">
        <v>2578.904282433984</v>
      </c>
      <c r="R67" s="7">
        <v>2352.4861764705879</v>
      </c>
    </row>
    <row r="68" spans="1:18" x14ac:dyDescent="0.35">
      <c r="A68" s="9" t="s">
        <v>115</v>
      </c>
      <c r="B68" s="9" t="s">
        <v>109</v>
      </c>
      <c r="C68" s="9" t="s">
        <v>106</v>
      </c>
      <c r="D68" s="9" t="s">
        <v>113</v>
      </c>
      <c r="E68" s="15">
        <v>18.239999999999998</v>
      </c>
      <c r="F68" s="12">
        <v>622</v>
      </c>
      <c r="G68" s="12">
        <v>622</v>
      </c>
      <c r="H68" s="12">
        <v>560</v>
      </c>
      <c r="I68" s="12">
        <v>62</v>
      </c>
      <c r="J68" s="16">
        <v>9.9700000000000011E-2</v>
      </c>
      <c r="K68" s="10">
        <v>1619662.47</v>
      </c>
      <c r="L68" s="10">
        <v>1462417.37</v>
      </c>
      <c r="M68" s="10">
        <v>157245.1</v>
      </c>
      <c r="N68" s="16">
        <v>9.7085104404499786E-2</v>
      </c>
      <c r="O68" s="16">
        <v>0.90291489559550031</v>
      </c>
      <c r="P68" s="10">
        <v>2603.96</v>
      </c>
      <c r="Q68" s="10">
        <v>2611.4595892857151</v>
      </c>
      <c r="R68" s="10">
        <v>2536.2112903225811</v>
      </c>
    </row>
    <row r="69" spans="1:18" x14ac:dyDescent="0.35">
      <c r="A69" s="6" t="s">
        <v>115</v>
      </c>
      <c r="B69" s="6" t="s">
        <v>105</v>
      </c>
      <c r="C69" s="6" t="s">
        <v>106</v>
      </c>
      <c r="D69" s="6" t="s">
        <v>113</v>
      </c>
      <c r="E69" s="17">
        <v>18.059999999999999</v>
      </c>
      <c r="F69" s="13">
        <v>517</v>
      </c>
      <c r="G69" s="13">
        <v>517</v>
      </c>
      <c r="H69" s="13">
        <v>463</v>
      </c>
      <c r="I69" s="13">
        <v>54</v>
      </c>
      <c r="J69" s="18">
        <v>0.10440000000000001</v>
      </c>
      <c r="K69" s="7">
        <v>1363181.57</v>
      </c>
      <c r="L69" s="7">
        <v>1223031.1499999999</v>
      </c>
      <c r="M69" s="7">
        <v>140150.42000000001</v>
      </c>
      <c r="N69" s="18">
        <v>0.10281126379958321</v>
      </c>
      <c r="O69" s="18">
        <v>0.89718873620041673</v>
      </c>
      <c r="P69" s="7">
        <v>2636.71</v>
      </c>
      <c r="Q69" s="7">
        <v>2641.5359611231102</v>
      </c>
      <c r="R69" s="7">
        <v>2595.3781481481478</v>
      </c>
    </row>
    <row r="70" spans="1:18" x14ac:dyDescent="0.35">
      <c r="A70" s="9" t="s">
        <v>114</v>
      </c>
      <c r="B70" s="9" t="s">
        <v>108</v>
      </c>
      <c r="C70" s="9" t="s">
        <v>111</v>
      </c>
      <c r="D70" s="9" t="s">
        <v>113</v>
      </c>
      <c r="E70" s="15">
        <v>18.07</v>
      </c>
      <c r="F70" s="12">
        <v>639</v>
      </c>
      <c r="G70" s="12">
        <v>639</v>
      </c>
      <c r="H70" s="12">
        <v>590</v>
      </c>
      <c r="I70" s="12">
        <v>49</v>
      </c>
      <c r="J70" s="16">
        <v>7.6700000000000004E-2</v>
      </c>
      <c r="K70" s="10">
        <v>1734419.63</v>
      </c>
      <c r="L70" s="10">
        <v>1610693.18</v>
      </c>
      <c r="M70" s="10">
        <v>123726.45</v>
      </c>
      <c r="N70" s="16">
        <v>7.1335937312932751E-2</v>
      </c>
      <c r="O70" s="16">
        <v>0.92866406268706725</v>
      </c>
      <c r="P70" s="10">
        <v>2714.27</v>
      </c>
      <c r="Q70" s="10">
        <v>2729.9884406779661</v>
      </c>
      <c r="R70" s="10">
        <v>2525.0295918367351</v>
      </c>
    </row>
    <row r="71" spans="1:18" x14ac:dyDescent="0.35">
      <c r="A71" s="6" t="s">
        <v>114</v>
      </c>
      <c r="B71" s="6" t="s">
        <v>109</v>
      </c>
      <c r="C71" s="6" t="s">
        <v>111</v>
      </c>
      <c r="D71" s="6" t="s">
        <v>113</v>
      </c>
      <c r="E71" s="17">
        <v>18.12</v>
      </c>
      <c r="F71" s="13">
        <v>737</v>
      </c>
      <c r="G71" s="13">
        <v>737</v>
      </c>
      <c r="H71" s="13">
        <v>685</v>
      </c>
      <c r="I71" s="13">
        <v>52</v>
      </c>
      <c r="J71" s="18">
        <v>7.0599999999999996E-2</v>
      </c>
      <c r="K71" s="7">
        <v>1915164.41</v>
      </c>
      <c r="L71" s="7">
        <v>1794510.22</v>
      </c>
      <c r="M71" s="7">
        <v>120654.19</v>
      </c>
      <c r="N71" s="18">
        <v>6.2999390219453805E-2</v>
      </c>
      <c r="O71" s="18">
        <v>0.93700060978054622</v>
      </c>
      <c r="P71" s="7">
        <v>2598.59</v>
      </c>
      <c r="Q71" s="7">
        <v>2619.7229489051101</v>
      </c>
      <c r="R71" s="7">
        <v>2320.272884615385</v>
      </c>
    </row>
    <row r="72" spans="1:18" x14ac:dyDescent="0.35">
      <c r="A72" s="9" t="s">
        <v>115</v>
      </c>
      <c r="B72" s="9" t="s">
        <v>110</v>
      </c>
      <c r="C72" s="9" t="s">
        <v>106</v>
      </c>
      <c r="D72" s="9" t="s">
        <v>113</v>
      </c>
      <c r="E72" s="15">
        <v>18.170000000000002</v>
      </c>
      <c r="F72" s="12">
        <v>521</v>
      </c>
      <c r="G72" s="12">
        <v>521</v>
      </c>
      <c r="H72" s="12">
        <v>480</v>
      </c>
      <c r="I72" s="12">
        <v>41</v>
      </c>
      <c r="J72" s="16">
        <v>7.8700000000000006E-2</v>
      </c>
      <c r="K72" s="10">
        <v>1390074.03</v>
      </c>
      <c r="L72" s="10">
        <v>1269521.9099999999</v>
      </c>
      <c r="M72" s="10">
        <v>120552.12</v>
      </c>
      <c r="N72" s="16">
        <v>8.6723525077293917E-2</v>
      </c>
      <c r="O72" s="16">
        <v>0.91327647492270603</v>
      </c>
      <c r="P72" s="10">
        <v>2668.09</v>
      </c>
      <c r="Q72" s="10">
        <v>2644.8373124999998</v>
      </c>
      <c r="R72" s="10">
        <v>2940.2956097560968</v>
      </c>
    </row>
    <row r="73" spans="1:18" x14ac:dyDescent="0.35">
      <c r="A73" s="6" t="s">
        <v>115</v>
      </c>
      <c r="B73" s="6" t="s">
        <v>108</v>
      </c>
      <c r="C73" s="6" t="s">
        <v>106</v>
      </c>
      <c r="D73" s="6" t="s">
        <v>113</v>
      </c>
      <c r="E73" s="17">
        <v>18.18</v>
      </c>
      <c r="F73" s="13">
        <v>495</v>
      </c>
      <c r="G73" s="13">
        <v>495</v>
      </c>
      <c r="H73" s="13">
        <v>452</v>
      </c>
      <c r="I73" s="13">
        <v>43</v>
      </c>
      <c r="J73" s="18">
        <v>8.6899999999999991E-2</v>
      </c>
      <c r="K73" s="7">
        <v>1295832.22</v>
      </c>
      <c r="L73" s="7">
        <v>1179653.02</v>
      </c>
      <c r="M73" s="7">
        <v>116179.2</v>
      </c>
      <c r="N73" s="18">
        <v>8.9656051305777848E-2</v>
      </c>
      <c r="O73" s="18">
        <v>0.91034394869422219</v>
      </c>
      <c r="P73" s="7">
        <v>2617.84</v>
      </c>
      <c r="Q73" s="7">
        <v>2609.8518141592922</v>
      </c>
      <c r="R73" s="7">
        <v>2701.841860465116</v>
      </c>
    </row>
    <row r="74" spans="1:18" x14ac:dyDescent="0.35">
      <c r="A74" s="9" t="s">
        <v>115</v>
      </c>
      <c r="B74" s="9" t="s">
        <v>109</v>
      </c>
      <c r="C74" s="9" t="s">
        <v>111</v>
      </c>
      <c r="D74" s="9" t="s">
        <v>113</v>
      </c>
      <c r="E74" s="15">
        <v>18.28</v>
      </c>
      <c r="F74" s="12">
        <v>395</v>
      </c>
      <c r="G74" s="12">
        <v>395</v>
      </c>
      <c r="H74" s="12">
        <v>355</v>
      </c>
      <c r="I74" s="12">
        <v>40</v>
      </c>
      <c r="J74" s="16">
        <v>0.1013</v>
      </c>
      <c r="K74" s="10">
        <v>1069290.8600000001</v>
      </c>
      <c r="L74" s="10">
        <v>959232.85</v>
      </c>
      <c r="M74" s="10">
        <v>110058.01</v>
      </c>
      <c r="N74" s="16">
        <v>0.1029261673479562</v>
      </c>
      <c r="O74" s="16">
        <v>0.89707383265204366</v>
      </c>
      <c r="P74" s="10">
        <v>2707.07</v>
      </c>
      <c r="Q74" s="10">
        <v>2702.0643661971831</v>
      </c>
      <c r="R74" s="10">
        <v>2751.4502499999999</v>
      </c>
    </row>
    <row r="75" spans="1:18" x14ac:dyDescent="0.35">
      <c r="A75" s="6" t="s">
        <v>115</v>
      </c>
      <c r="B75" s="6" t="s">
        <v>108</v>
      </c>
      <c r="C75" s="6" t="s">
        <v>111</v>
      </c>
      <c r="D75" s="6" t="s">
        <v>113</v>
      </c>
      <c r="E75" s="17">
        <v>18</v>
      </c>
      <c r="F75" s="13">
        <v>361</v>
      </c>
      <c r="G75" s="13">
        <v>361</v>
      </c>
      <c r="H75" s="13">
        <v>328</v>
      </c>
      <c r="I75" s="13">
        <v>33</v>
      </c>
      <c r="J75" s="18">
        <v>9.1400000000000009E-2</v>
      </c>
      <c r="K75" s="7">
        <v>977572.19</v>
      </c>
      <c r="L75" s="7">
        <v>891773.2</v>
      </c>
      <c r="M75" s="7">
        <v>85798.99</v>
      </c>
      <c r="N75" s="18">
        <v>8.7767421043350266E-2</v>
      </c>
      <c r="O75" s="18">
        <v>0.91223257895664966</v>
      </c>
      <c r="P75" s="7">
        <v>2707.96</v>
      </c>
      <c r="Q75" s="7">
        <v>2718.820731707317</v>
      </c>
      <c r="R75" s="7">
        <v>2599.9693939393942</v>
      </c>
    </row>
    <row r="76" spans="1:18" x14ac:dyDescent="0.35">
      <c r="A76" s="9" t="s">
        <v>115</v>
      </c>
      <c r="B76" s="9" t="s">
        <v>110</v>
      </c>
      <c r="C76" s="9" t="s">
        <v>111</v>
      </c>
      <c r="D76" s="9" t="s">
        <v>113</v>
      </c>
      <c r="E76" s="15">
        <v>18.36</v>
      </c>
      <c r="F76" s="12">
        <v>367</v>
      </c>
      <c r="G76" s="12">
        <v>367</v>
      </c>
      <c r="H76" s="12">
        <v>336</v>
      </c>
      <c r="I76" s="12">
        <v>31</v>
      </c>
      <c r="J76" s="16">
        <v>8.4499999999999992E-2</v>
      </c>
      <c r="K76" s="10">
        <v>973442.76</v>
      </c>
      <c r="L76" s="10">
        <v>891796.4</v>
      </c>
      <c r="M76" s="10">
        <v>81646.36</v>
      </c>
      <c r="N76" s="16">
        <v>8.3873817090180006E-2</v>
      </c>
      <c r="O76" s="16">
        <v>0.91612618290981995</v>
      </c>
      <c r="P76" s="10">
        <v>2652.43</v>
      </c>
      <c r="Q76" s="10">
        <v>2654.1559523809519</v>
      </c>
      <c r="R76" s="10">
        <v>2633.753548387097</v>
      </c>
    </row>
    <row r="77" spans="1:18" x14ac:dyDescent="0.35">
      <c r="A77" s="6" t="s">
        <v>115</v>
      </c>
      <c r="B77" s="6" t="s">
        <v>105</v>
      </c>
      <c r="C77" s="6" t="s">
        <v>111</v>
      </c>
      <c r="D77" s="6" t="s">
        <v>113</v>
      </c>
      <c r="E77" s="17">
        <v>18.22</v>
      </c>
      <c r="F77" s="13">
        <v>374</v>
      </c>
      <c r="G77" s="13">
        <v>374</v>
      </c>
      <c r="H77" s="13">
        <v>344</v>
      </c>
      <c r="I77" s="13">
        <v>30</v>
      </c>
      <c r="J77" s="18">
        <v>8.0199999999999994E-2</v>
      </c>
      <c r="K77" s="7">
        <v>1010017.64</v>
      </c>
      <c r="L77" s="7">
        <v>931462.66</v>
      </c>
      <c r="M77" s="7">
        <v>78554.98</v>
      </c>
      <c r="N77" s="18">
        <v>7.7775849538627859E-2</v>
      </c>
      <c r="O77" s="18">
        <v>0.92222415046137218</v>
      </c>
      <c r="P77" s="7">
        <v>2700.58</v>
      </c>
      <c r="Q77" s="7">
        <v>2707.740290697674</v>
      </c>
      <c r="R77" s="7">
        <v>2618.4993333333332</v>
      </c>
    </row>
    <row r="78" spans="1:18" x14ac:dyDescent="0.35">
      <c r="A78" s="19" t="s">
        <v>116</v>
      </c>
      <c r="B78" s="19"/>
      <c r="C78" s="19"/>
      <c r="D78" s="19"/>
      <c r="E78" s="20">
        <f>AVERAGE(E6:E77)</f>
        <v>10.310833333333335</v>
      </c>
      <c r="F78" s="21">
        <f>SUM(F6:F77)</f>
        <v>200000</v>
      </c>
      <c r="G78" s="21">
        <f>SUM(G6:G77)</f>
        <v>200000</v>
      </c>
      <c r="H78" s="21">
        <f>SUM(H6:H77)</f>
        <v>184004</v>
      </c>
      <c r="I78" s="21">
        <f>SUM(I6:I77)</f>
        <v>15996</v>
      </c>
      <c r="J78" s="22">
        <f>I78/F78</f>
        <v>7.9979999999999996E-2</v>
      </c>
      <c r="K78" s="23">
        <f>SUM(K6:K77)</f>
        <v>686899897.12</v>
      </c>
      <c r="L78" s="23">
        <f>SUM(L6:L77)</f>
        <v>484070043.40000015</v>
      </c>
      <c r="M78" s="23">
        <f>SUM(M6:M77)</f>
        <v>202829853.72000009</v>
      </c>
      <c r="N78" s="22">
        <f>M78/K78</f>
        <v>0.2952829874781101</v>
      </c>
      <c r="O78" s="22">
        <f>L78/K78</f>
        <v>0.70471701252189023</v>
      </c>
      <c r="P78" s="23">
        <f>K78/F78</f>
        <v>3434.4994855999998</v>
      </c>
      <c r="Q78" s="23">
        <f>L78/H78</f>
        <v>2630.7582628638515</v>
      </c>
      <c r="R78" s="23">
        <f>M78/I78</f>
        <v>12680.035866466622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36"/>
  <sheetViews>
    <sheetView topLeftCell="S1" workbookViewId="0">
      <pane ySplit="5" topLeftCell="A24" activePane="bottomLeft" state="frozen"/>
      <selection pane="bottomLeft"/>
    </sheetView>
  </sheetViews>
  <sheetFormatPr defaultRowHeight="14.5" x14ac:dyDescent="0.35"/>
  <cols>
    <col min="1" max="1" width="152" customWidth="1"/>
    <col min="2" max="2" width="24" customWidth="1"/>
    <col min="3" max="3" width="31" customWidth="1"/>
    <col min="4" max="4" width="43" customWidth="1"/>
    <col min="5" max="5" width="23" customWidth="1"/>
    <col min="6" max="6" width="31" customWidth="1"/>
    <col min="7" max="7" width="25" customWidth="1"/>
    <col min="8" max="8" width="26" customWidth="1"/>
    <col min="9" max="9" width="25" customWidth="1"/>
    <col min="10" max="10" width="29" customWidth="1"/>
    <col min="11" max="11" width="32" customWidth="1"/>
    <col min="12" max="12" width="24" customWidth="1"/>
    <col min="13" max="13" width="27" customWidth="1"/>
    <col min="14" max="14" width="29" customWidth="1"/>
    <col min="15" max="15" width="30" customWidth="1"/>
    <col min="16" max="16" width="35" customWidth="1"/>
    <col min="17" max="17" width="27" customWidth="1"/>
    <col min="18" max="18" width="33" customWidth="1"/>
    <col min="19" max="19" width="36" customWidth="1"/>
    <col min="20" max="20" width="31" customWidth="1"/>
    <col min="21" max="21" width="39" customWidth="1"/>
  </cols>
  <sheetData>
    <row r="1" spans="1:21" ht="16.5" x14ac:dyDescent="0.35">
      <c r="A1" s="14" t="s">
        <v>117</v>
      </c>
    </row>
    <row r="2" spans="1:21" x14ac:dyDescent="0.35">
      <c r="A2" s="2" t="s">
        <v>118</v>
      </c>
    </row>
    <row r="3" spans="1:21" x14ac:dyDescent="0.35">
      <c r="A3" s="3" t="s">
        <v>119</v>
      </c>
    </row>
    <row r="5" spans="1:21" x14ac:dyDescent="0.35">
      <c r="A5" s="5" t="s">
        <v>120</v>
      </c>
      <c r="B5" s="5" t="s">
        <v>121</v>
      </c>
      <c r="C5" s="5" t="s">
        <v>122</v>
      </c>
      <c r="D5" s="5" t="s">
        <v>123</v>
      </c>
      <c r="E5" s="5" t="s">
        <v>124</v>
      </c>
      <c r="F5" s="5" t="s">
        <v>125</v>
      </c>
      <c r="G5" s="5" t="s">
        <v>126</v>
      </c>
      <c r="H5" s="5" t="s">
        <v>127</v>
      </c>
      <c r="I5" s="5" t="s">
        <v>93</v>
      </c>
      <c r="J5" s="5" t="s">
        <v>97</v>
      </c>
      <c r="K5" s="5" t="s">
        <v>128</v>
      </c>
      <c r="L5" s="5" t="s">
        <v>129</v>
      </c>
      <c r="M5" s="5" t="s">
        <v>130</v>
      </c>
      <c r="N5" s="5" t="s">
        <v>131</v>
      </c>
      <c r="O5" s="5" t="s">
        <v>132</v>
      </c>
      <c r="P5" s="5" t="s">
        <v>133</v>
      </c>
      <c r="Q5" s="5" t="s">
        <v>134</v>
      </c>
      <c r="R5" s="5" t="s">
        <v>135</v>
      </c>
      <c r="S5" s="5" t="s">
        <v>136</v>
      </c>
      <c r="T5" s="5" t="s">
        <v>137</v>
      </c>
      <c r="U5" s="5" t="s">
        <v>138</v>
      </c>
    </row>
    <row r="6" spans="1:21" x14ac:dyDescent="0.35">
      <c r="A6" s="9" t="s">
        <v>139</v>
      </c>
      <c r="B6" s="9" t="s">
        <v>140</v>
      </c>
      <c r="C6" s="9" t="s">
        <v>141</v>
      </c>
      <c r="D6" s="9" t="s">
        <v>142</v>
      </c>
      <c r="E6" s="10">
        <v>9.2799999999999994</v>
      </c>
      <c r="F6" s="16">
        <v>0.99349999999999994</v>
      </c>
      <c r="G6" s="16">
        <v>0.64480000000000004</v>
      </c>
      <c r="H6" s="12">
        <v>1797</v>
      </c>
      <c r="I6" s="12">
        <v>1797</v>
      </c>
      <c r="J6" s="10">
        <v>7041436.7800000003</v>
      </c>
      <c r="K6" s="10">
        <v>3918.44</v>
      </c>
      <c r="L6" s="12">
        <v>0</v>
      </c>
      <c r="M6" s="16">
        <v>0</v>
      </c>
      <c r="N6" s="12">
        <v>1797</v>
      </c>
      <c r="O6" s="16">
        <v>1</v>
      </c>
      <c r="P6" s="12">
        <v>0</v>
      </c>
      <c r="Q6" s="16">
        <v>0</v>
      </c>
      <c r="R6" s="10"/>
      <c r="S6" s="10">
        <v>3918.4400556483029</v>
      </c>
      <c r="T6" s="10">
        <v>0</v>
      </c>
      <c r="U6" s="10">
        <v>255.20359780891189</v>
      </c>
    </row>
    <row r="7" spans="1:21" x14ac:dyDescent="0.35">
      <c r="A7" s="6" t="s">
        <v>143</v>
      </c>
      <c r="B7" s="6" t="s">
        <v>144</v>
      </c>
      <c r="C7" s="6" t="s">
        <v>141</v>
      </c>
      <c r="D7" s="6" t="s">
        <v>142</v>
      </c>
      <c r="E7" s="7">
        <v>9.1300000000000008</v>
      </c>
      <c r="F7" s="18">
        <v>0.98939999999999995</v>
      </c>
      <c r="G7" s="18">
        <v>0.64590000000000003</v>
      </c>
      <c r="H7" s="13">
        <v>1809</v>
      </c>
      <c r="I7" s="13">
        <v>1809</v>
      </c>
      <c r="J7" s="7">
        <v>6950017.5800000001</v>
      </c>
      <c r="K7" s="7">
        <v>3841.91</v>
      </c>
      <c r="L7" s="13">
        <v>0</v>
      </c>
      <c r="M7" s="18">
        <v>0</v>
      </c>
      <c r="N7" s="13">
        <v>1809</v>
      </c>
      <c r="O7" s="18">
        <v>1</v>
      </c>
      <c r="P7" s="13">
        <v>0</v>
      </c>
      <c r="Q7" s="18">
        <v>0</v>
      </c>
      <c r="R7" s="7"/>
      <c r="S7" s="7">
        <v>3841.9113211719182</v>
      </c>
      <c r="T7" s="7">
        <v>0</v>
      </c>
      <c r="U7" s="7">
        <v>260.28711138886069</v>
      </c>
    </row>
    <row r="8" spans="1:21" x14ac:dyDescent="0.35">
      <c r="A8" s="9" t="s">
        <v>143</v>
      </c>
      <c r="B8" s="9" t="s">
        <v>145</v>
      </c>
      <c r="C8" s="9" t="s">
        <v>141</v>
      </c>
      <c r="D8" s="9" t="s">
        <v>142</v>
      </c>
      <c r="E8" s="10">
        <v>9.07</v>
      </c>
      <c r="F8" s="16">
        <v>0.99049999999999994</v>
      </c>
      <c r="G8" s="16">
        <v>0.65079999999999993</v>
      </c>
      <c r="H8" s="12">
        <v>1681</v>
      </c>
      <c r="I8" s="12">
        <v>1681</v>
      </c>
      <c r="J8" s="10">
        <v>6905946.9900000002</v>
      </c>
      <c r="K8" s="10">
        <v>4108.24</v>
      </c>
      <c r="L8" s="12">
        <v>0</v>
      </c>
      <c r="M8" s="16">
        <v>0</v>
      </c>
      <c r="N8" s="12">
        <v>1681</v>
      </c>
      <c r="O8" s="16">
        <v>1</v>
      </c>
      <c r="P8" s="12">
        <v>0</v>
      </c>
      <c r="Q8" s="16">
        <v>0</v>
      </c>
      <c r="R8" s="10"/>
      <c r="S8" s="10">
        <v>4108.2373527662103</v>
      </c>
      <c r="T8" s="10">
        <v>0</v>
      </c>
      <c r="U8" s="10">
        <v>243.4133946342383</v>
      </c>
    </row>
    <row r="9" spans="1:21" x14ac:dyDescent="0.35">
      <c r="A9" s="6" t="s">
        <v>146</v>
      </c>
      <c r="B9" s="6" t="s">
        <v>147</v>
      </c>
      <c r="C9" s="6" t="s">
        <v>141</v>
      </c>
      <c r="D9" s="6" t="s">
        <v>142</v>
      </c>
      <c r="E9" s="7">
        <v>9.2100000000000009</v>
      </c>
      <c r="F9" s="18">
        <v>0.99080000000000001</v>
      </c>
      <c r="G9" s="18">
        <v>0.64939999999999998</v>
      </c>
      <c r="H9" s="13">
        <v>1700</v>
      </c>
      <c r="I9" s="13">
        <v>1700</v>
      </c>
      <c r="J9" s="7">
        <v>6789232.46</v>
      </c>
      <c r="K9" s="7">
        <v>3993.67</v>
      </c>
      <c r="L9" s="13">
        <v>0</v>
      </c>
      <c r="M9" s="18">
        <v>0</v>
      </c>
      <c r="N9" s="13">
        <v>1700</v>
      </c>
      <c r="O9" s="18">
        <v>1</v>
      </c>
      <c r="P9" s="13">
        <v>0</v>
      </c>
      <c r="Q9" s="18">
        <v>0</v>
      </c>
      <c r="R9" s="7"/>
      <c r="S9" s="7">
        <v>3993.6661529411758</v>
      </c>
      <c r="T9" s="7">
        <v>0</v>
      </c>
      <c r="U9" s="7">
        <v>250.3964932731144</v>
      </c>
    </row>
    <row r="10" spans="1:21" x14ac:dyDescent="0.35">
      <c r="A10" s="9" t="s">
        <v>146</v>
      </c>
      <c r="B10" s="9" t="s">
        <v>148</v>
      </c>
      <c r="C10" s="9" t="s">
        <v>141</v>
      </c>
      <c r="D10" s="9" t="s">
        <v>142</v>
      </c>
      <c r="E10" s="10">
        <v>9.15</v>
      </c>
      <c r="F10" s="16">
        <v>0.99109999999999998</v>
      </c>
      <c r="G10" s="16">
        <v>0.65</v>
      </c>
      <c r="H10" s="12">
        <v>1753</v>
      </c>
      <c r="I10" s="12">
        <v>1753</v>
      </c>
      <c r="J10" s="10">
        <v>6597556.6299999999</v>
      </c>
      <c r="K10" s="10">
        <v>3763.58</v>
      </c>
      <c r="L10" s="12">
        <v>0</v>
      </c>
      <c r="M10" s="16">
        <v>0</v>
      </c>
      <c r="N10" s="12">
        <v>1753</v>
      </c>
      <c r="O10" s="16">
        <v>1</v>
      </c>
      <c r="P10" s="12">
        <v>0</v>
      </c>
      <c r="Q10" s="16">
        <v>0</v>
      </c>
      <c r="R10" s="10"/>
      <c r="S10" s="10">
        <v>3763.5805077010841</v>
      </c>
      <c r="T10" s="10">
        <v>0</v>
      </c>
      <c r="U10" s="10">
        <v>265.70442639762541</v>
      </c>
    </row>
    <row r="11" spans="1:21" x14ac:dyDescent="0.35">
      <c r="A11" s="6" t="s">
        <v>146</v>
      </c>
      <c r="B11" s="6" t="s">
        <v>145</v>
      </c>
      <c r="C11" s="6" t="s">
        <v>141</v>
      </c>
      <c r="D11" s="6" t="s">
        <v>142</v>
      </c>
      <c r="E11" s="7">
        <v>9.19</v>
      </c>
      <c r="F11" s="18">
        <v>0.99120000000000008</v>
      </c>
      <c r="G11" s="18">
        <v>0.6542</v>
      </c>
      <c r="H11" s="13">
        <v>1746</v>
      </c>
      <c r="I11" s="13">
        <v>1746</v>
      </c>
      <c r="J11" s="7">
        <v>6483003.71</v>
      </c>
      <c r="K11" s="7">
        <v>3713.06</v>
      </c>
      <c r="L11" s="13">
        <v>0</v>
      </c>
      <c r="M11" s="18">
        <v>0</v>
      </c>
      <c r="N11" s="13">
        <v>1746</v>
      </c>
      <c r="O11" s="18">
        <v>1</v>
      </c>
      <c r="P11" s="13">
        <v>0</v>
      </c>
      <c r="Q11" s="18">
        <v>0</v>
      </c>
      <c r="R11" s="7"/>
      <c r="S11" s="7">
        <v>3713.060544100802</v>
      </c>
      <c r="T11" s="7">
        <v>0</v>
      </c>
      <c r="U11" s="7">
        <v>269.31960524822841</v>
      </c>
    </row>
    <row r="12" spans="1:21" x14ac:dyDescent="0.35">
      <c r="A12" s="9" t="s">
        <v>139</v>
      </c>
      <c r="B12" s="9" t="s">
        <v>144</v>
      </c>
      <c r="C12" s="9" t="s">
        <v>141</v>
      </c>
      <c r="D12" s="9" t="s">
        <v>142</v>
      </c>
      <c r="E12" s="10">
        <v>9.11</v>
      </c>
      <c r="F12" s="16">
        <v>0.99159999999999993</v>
      </c>
      <c r="G12" s="16">
        <v>0.6470999999999999</v>
      </c>
      <c r="H12" s="12">
        <v>1786</v>
      </c>
      <c r="I12" s="12">
        <v>1786</v>
      </c>
      <c r="J12" s="10">
        <v>6445187.3300000001</v>
      </c>
      <c r="K12" s="10">
        <v>3608.73</v>
      </c>
      <c r="L12" s="12">
        <v>0</v>
      </c>
      <c r="M12" s="16">
        <v>0</v>
      </c>
      <c r="N12" s="12">
        <v>1786</v>
      </c>
      <c r="O12" s="16">
        <v>1</v>
      </c>
      <c r="P12" s="12">
        <v>0</v>
      </c>
      <c r="Q12" s="16">
        <v>0</v>
      </c>
      <c r="R12" s="10"/>
      <c r="S12" s="10">
        <v>3608.727508398656</v>
      </c>
      <c r="T12" s="10">
        <v>0</v>
      </c>
      <c r="U12" s="10">
        <v>277.10598754621458</v>
      </c>
    </row>
    <row r="13" spans="1:21" x14ac:dyDescent="0.35">
      <c r="A13" s="6" t="s">
        <v>149</v>
      </c>
      <c r="B13" s="6" t="s">
        <v>144</v>
      </c>
      <c r="C13" s="6" t="s">
        <v>141</v>
      </c>
      <c r="D13" s="6" t="s">
        <v>142</v>
      </c>
      <c r="E13" s="7">
        <v>9.18</v>
      </c>
      <c r="F13" s="18">
        <v>0.98980000000000001</v>
      </c>
      <c r="G13" s="18">
        <v>0.64950000000000008</v>
      </c>
      <c r="H13" s="13">
        <v>1794</v>
      </c>
      <c r="I13" s="13">
        <v>1794</v>
      </c>
      <c r="J13" s="7">
        <v>6352545.8899999997</v>
      </c>
      <c r="K13" s="7">
        <v>3541</v>
      </c>
      <c r="L13" s="13">
        <v>0</v>
      </c>
      <c r="M13" s="18">
        <v>0</v>
      </c>
      <c r="N13" s="13">
        <v>1794</v>
      </c>
      <c r="O13" s="18">
        <v>1</v>
      </c>
      <c r="P13" s="13">
        <v>0</v>
      </c>
      <c r="Q13" s="18">
        <v>0</v>
      </c>
      <c r="R13" s="7"/>
      <c r="S13" s="7">
        <v>3540.995479375697</v>
      </c>
      <c r="T13" s="7">
        <v>0</v>
      </c>
      <c r="U13" s="7">
        <v>282.40646050649781</v>
      </c>
    </row>
    <row r="14" spans="1:21" x14ac:dyDescent="0.35">
      <c r="A14" s="9" t="s">
        <v>143</v>
      </c>
      <c r="B14" s="9" t="s">
        <v>147</v>
      </c>
      <c r="C14" s="9" t="s">
        <v>141</v>
      </c>
      <c r="D14" s="9" t="s">
        <v>142</v>
      </c>
      <c r="E14" s="10">
        <v>9.1999999999999993</v>
      </c>
      <c r="F14" s="16">
        <v>0.99180000000000001</v>
      </c>
      <c r="G14" s="16">
        <v>0.6573</v>
      </c>
      <c r="H14" s="12">
        <v>1770</v>
      </c>
      <c r="I14" s="12">
        <v>1770</v>
      </c>
      <c r="J14" s="10">
        <v>6329998.4100000001</v>
      </c>
      <c r="K14" s="10">
        <v>3576.27</v>
      </c>
      <c r="L14" s="12">
        <v>0</v>
      </c>
      <c r="M14" s="16">
        <v>0</v>
      </c>
      <c r="N14" s="12">
        <v>1770</v>
      </c>
      <c r="O14" s="16">
        <v>1</v>
      </c>
      <c r="P14" s="12">
        <v>0</v>
      </c>
      <c r="Q14" s="16">
        <v>0</v>
      </c>
      <c r="R14" s="10"/>
      <c r="S14" s="10">
        <v>3576.2702881355931</v>
      </c>
      <c r="T14" s="10">
        <v>0</v>
      </c>
      <c r="U14" s="10">
        <v>279.62092331710392</v>
      </c>
    </row>
    <row r="15" spans="1:21" x14ac:dyDescent="0.35">
      <c r="A15" s="6" t="s">
        <v>146</v>
      </c>
      <c r="B15" s="6" t="s">
        <v>144</v>
      </c>
      <c r="C15" s="6" t="s">
        <v>141</v>
      </c>
      <c r="D15" s="6" t="s">
        <v>142</v>
      </c>
      <c r="E15" s="7">
        <v>9.24</v>
      </c>
      <c r="F15" s="18">
        <v>0.99120000000000008</v>
      </c>
      <c r="G15" s="18">
        <v>0.65239999999999998</v>
      </c>
      <c r="H15" s="13">
        <v>1789</v>
      </c>
      <c r="I15" s="13">
        <v>1789</v>
      </c>
      <c r="J15" s="7">
        <v>6306344.6900000004</v>
      </c>
      <c r="K15" s="7">
        <v>3525.07</v>
      </c>
      <c r="L15" s="13">
        <v>0</v>
      </c>
      <c r="M15" s="18">
        <v>0</v>
      </c>
      <c r="N15" s="13">
        <v>1789</v>
      </c>
      <c r="O15" s="18">
        <v>1</v>
      </c>
      <c r="P15" s="13">
        <v>0</v>
      </c>
      <c r="Q15" s="18">
        <v>0</v>
      </c>
      <c r="R15" s="7"/>
      <c r="S15" s="7">
        <v>3525.0669032979322</v>
      </c>
      <c r="T15" s="7">
        <v>0</v>
      </c>
      <c r="U15" s="7">
        <v>283.68255906417949</v>
      </c>
    </row>
    <row r="16" spans="1:21" x14ac:dyDescent="0.35">
      <c r="A16" s="9" t="s">
        <v>150</v>
      </c>
      <c r="B16" s="9" t="s">
        <v>144</v>
      </c>
      <c r="C16" s="9" t="s">
        <v>141</v>
      </c>
      <c r="D16" s="9" t="s">
        <v>142</v>
      </c>
      <c r="E16" s="10">
        <v>9.26</v>
      </c>
      <c r="F16" s="16">
        <v>0.99170000000000003</v>
      </c>
      <c r="G16" s="16">
        <v>0.65439999999999998</v>
      </c>
      <c r="H16" s="12">
        <v>1690</v>
      </c>
      <c r="I16" s="12">
        <v>1690</v>
      </c>
      <c r="J16" s="10">
        <v>6227724.7999999998</v>
      </c>
      <c r="K16" s="10">
        <v>3685.04</v>
      </c>
      <c r="L16" s="12">
        <v>0</v>
      </c>
      <c r="M16" s="16">
        <v>0</v>
      </c>
      <c r="N16" s="12">
        <v>1690</v>
      </c>
      <c r="O16" s="16">
        <v>1</v>
      </c>
      <c r="P16" s="12">
        <v>0</v>
      </c>
      <c r="Q16" s="16">
        <v>0</v>
      </c>
      <c r="R16" s="10"/>
      <c r="S16" s="10">
        <v>3685.04426035503</v>
      </c>
      <c r="T16" s="10">
        <v>0</v>
      </c>
      <c r="U16" s="10">
        <v>271.36716124643152</v>
      </c>
    </row>
    <row r="17" spans="1:21" x14ac:dyDescent="0.35">
      <c r="A17" s="6" t="s">
        <v>139</v>
      </c>
      <c r="B17" s="6" t="s">
        <v>151</v>
      </c>
      <c r="C17" s="6" t="s">
        <v>141</v>
      </c>
      <c r="D17" s="6" t="s">
        <v>142</v>
      </c>
      <c r="E17" s="7">
        <v>9.1199999999999992</v>
      </c>
      <c r="F17" s="18">
        <v>0.99010000000000009</v>
      </c>
      <c r="G17" s="18">
        <v>0.65480000000000005</v>
      </c>
      <c r="H17" s="13">
        <v>1759</v>
      </c>
      <c r="I17" s="13">
        <v>1759</v>
      </c>
      <c r="J17" s="7">
        <v>6153332.8700000001</v>
      </c>
      <c r="K17" s="7">
        <v>3498.2</v>
      </c>
      <c r="L17" s="13">
        <v>0</v>
      </c>
      <c r="M17" s="18">
        <v>0</v>
      </c>
      <c r="N17" s="13">
        <v>1759</v>
      </c>
      <c r="O17" s="18">
        <v>1</v>
      </c>
      <c r="P17" s="13">
        <v>0</v>
      </c>
      <c r="Q17" s="18">
        <v>0</v>
      </c>
      <c r="R17" s="7"/>
      <c r="S17" s="7">
        <v>3498.1994712905062</v>
      </c>
      <c r="T17" s="7">
        <v>0</v>
      </c>
      <c r="U17" s="7">
        <v>285.86134330158552</v>
      </c>
    </row>
    <row r="18" spans="1:21" x14ac:dyDescent="0.35">
      <c r="A18" s="9" t="s">
        <v>150</v>
      </c>
      <c r="B18" s="9" t="s">
        <v>147</v>
      </c>
      <c r="C18" s="9" t="s">
        <v>141</v>
      </c>
      <c r="D18" s="9" t="s">
        <v>142</v>
      </c>
      <c r="E18" s="10">
        <v>9.23</v>
      </c>
      <c r="F18" s="16">
        <v>0.98970000000000002</v>
      </c>
      <c r="G18" s="16">
        <v>0.65290000000000004</v>
      </c>
      <c r="H18" s="12">
        <v>1718</v>
      </c>
      <c r="I18" s="12">
        <v>1718</v>
      </c>
      <c r="J18" s="10">
        <v>6145613.1100000003</v>
      </c>
      <c r="K18" s="10">
        <v>3577.19</v>
      </c>
      <c r="L18" s="12">
        <v>0</v>
      </c>
      <c r="M18" s="16">
        <v>0</v>
      </c>
      <c r="N18" s="12">
        <v>1718</v>
      </c>
      <c r="O18" s="16">
        <v>1</v>
      </c>
      <c r="P18" s="12">
        <v>0</v>
      </c>
      <c r="Q18" s="16">
        <v>0</v>
      </c>
      <c r="R18" s="10"/>
      <c r="S18" s="10">
        <v>3577.1904016298022</v>
      </c>
      <c r="T18" s="10">
        <v>0</v>
      </c>
      <c r="U18" s="10">
        <v>279.54900011595419</v>
      </c>
    </row>
    <row r="19" spans="1:21" x14ac:dyDescent="0.35">
      <c r="A19" s="6" t="s">
        <v>149</v>
      </c>
      <c r="B19" s="6" t="s">
        <v>148</v>
      </c>
      <c r="C19" s="6" t="s">
        <v>141</v>
      </c>
      <c r="D19" s="6" t="s">
        <v>142</v>
      </c>
      <c r="E19" s="7">
        <v>9.1199999999999992</v>
      </c>
      <c r="F19" s="18">
        <v>0.9909</v>
      </c>
      <c r="G19" s="18">
        <v>0.64790000000000003</v>
      </c>
      <c r="H19" s="13">
        <v>1696</v>
      </c>
      <c r="I19" s="13">
        <v>1696</v>
      </c>
      <c r="J19" s="7">
        <v>6110307.4299999997</v>
      </c>
      <c r="K19" s="7">
        <v>3602.78</v>
      </c>
      <c r="L19" s="13">
        <v>0</v>
      </c>
      <c r="M19" s="18">
        <v>0</v>
      </c>
      <c r="N19" s="13">
        <v>1696</v>
      </c>
      <c r="O19" s="18">
        <v>1</v>
      </c>
      <c r="P19" s="13">
        <v>0</v>
      </c>
      <c r="Q19" s="18">
        <v>0</v>
      </c>
      <c r="R19" s="7"/>
      <c r="S19" s="7">
        <v>3602.775607311321</v>
      </c>
      <c r="T19" s="7">
        <v>0</v>
      </c>
      <c r="U19" s="7">
        <v>277.56377554312348</v>
      </c>
    </row>
    <row r="20" spans="1:21" x14ac:dyDescent="0.35">
      <c r="A20" s="9" t="s">
        <v>146</v>
      </c>
      <c r="B20" s="9" t="s">
        <v>151</v>
      </c>
      <c r="C20" s="9" t="s">
        <v>141</v>
      </c>
      <c r="D20" s="9" t="s">
        <v>142</v>
      </c>
      <c r="E20" s="10">
        <v>9.1</v>
      </c>
      <c r="F20" s="16">
        <v>0.99120000000000008</v>
      </c>
      <c r="G20" s="16">
        <v>0.64080000000000004</v>
      </c>
      <c r="H20" s="12">
        <v>1694</v>
      </c>
      <c r="I20" s="12">
        <v>1694</v>
      </c>
      <c r="J20" s="10">
        <v>6105207.0599999996</v>
      </c>
      <c r="K20" s="10">
        <v>3604.02</v>
      </c>
      <c r="L20" s="12">
        <v>0</v>
      </c>
      <c r="M20" s="16">
        <v>0</v>
      </c>
      <c r="N20" s="12">
        <v>1694</v>
      </c>
      <c r="O20" s="16">
        <v>1</v>
      </c>
      <c r="P20" s="12">
        <v>0</v>
      </c>
      <c r="Q20" s="16">
        <v>0</v>
      </c>
      <c r="R20" s="10"/>
      <c r="S20" s="10">
        <v>3604.018335301063</v>
      </c>
      <c r="T20" s="10">
        <v>0</v>
      </c>
      <c r="U20" s="10">
        <v>277.46806674235881</v>
      </c>
    </row>
    <row r="21" spans="1:21" x14ac:dyDescent="0.35">
      <c r="A21" s="6" t="s">
        <v>149</v>
      </c>
      <c r="B21" s="6" t="s">
        <v>145</v>
      </c>
      <c r="C21" s="6" t="s">
        <v>141</v>
      </c>
      <c r="D21" s="6" t="s">
        <v>142</v>
      </c>
      <c r="E21" s="7">
        <v>9.1300000000000008</v>
      </c>
      <c r="F21" s="18">
        <v>0.99080000000000001</v>
      </c>
      <c r="G21" s="18">
        <v>0.6431</v>
      </c>
      <c r="H21" s="13">
        <v>1766</v>
      </c>
      <c r="I21" s="13">
        <v>1766</v>
      </c>
      <c r="J21" s="7">
        <v>6093799.4100000001</v>
      </c>
      <c r="K21" s="7">
        <v>3450.62</v>
      </c>
      <c r="L21" s="13">
        <v>0</v>
      </c>
      <c r="M21" s="18">
        <v>0</v>
      </c>
      <c r="N21" s="13">
        <v>1766</v>
      </c>
      <c r="O21" s="18">
        <v>1</v>
      </c>
      <c r="P21" s="13">
        <v>0</v>
      </c>
      <c r="Q21" s="18">
        <v>0</v>
      </c>
      <c r="R21" s="7"/>
      <c r="S21" s="7">
        <v>3450.622542468856</v>
      </c>
      <c r="T21" s="7">
        <v>0</v>
      </c>
      <c r="U21" s="7">
        <v>289.80277839503088</v>
      </c>
    </row>
    <row r="22" spans="1:21" x14ac:dyDescent="0.35">
      <c r="A22" s="9" t="s">
        <v>139</v>
      </c>
      <c r="B22" s="9" t="s">
        <v>145</v>
      </c>
      <c r="C22" s="9" t="s">
        <v>141</v>
      </c>
      <c r="D22" s="9" t="s">
        <v>142</v>
      </c>
      <c r="E22" s="10">
        <v>9.2200000000000006</v>
      </c>
      <c r="F22" s="16">
        <v>0.99170000000000003</v>
      </c>
      <c r="G22" s="16">
        <v>0.65349999999999997</v>
      </c>
      <c r="H22" s="12">
        <v>1746</v>
      </c>
      <c r="I22" s="12">
        <v>1746</v>
      </c>
      <c r="J22" s="10">
        <v>6022367.6799999997</v>
      </c>
      <c r="K22" s="10">
        <v>3449.24</v>
      </c>
      <c r="L22" s="12">
        <v>0</v>
      </c>
      <c r="M22" s="16">
        <v>0</v>
      </c>
      <c r="N22" s="12">
        <v>1746</v>
      </c>
      <c r="O22" s="16">
        <v>1</v>
      </c>
      <c r="P22" s="12">
        <v>0</v>
      </c>
      <c r="Q22" s="16">
        <v>0</v>
      </c>
      <c r="R22" s="10"/>
      <c r="S22" s="10">
        <v>3449.2369301260019</v>
      </c>
      <c r="T22" s="10">
        <v>0</v>
      </c>
      <c r="U22" s="10">
        <v>289.9191966970705</v>
      </c>
    </row>
    <row r="23" spans="1:21" x14ac:dyDescent="0.35">
      <c r="A23" s="6" t="s">
        <v>149</v>
      </c>
      <c r="B23" s="6" t="s">
        <v>151</v>
      </c>
      <c r="C23" s="6" t="s">
        <v>141</v>
      </c>
      <c r="D23" s="6" t="s">
        <v>142</v>
      </c>
      <c r="E23" s="7">
        <v>9.15</v>
      </c>
      <c r="F23" s="18">
        <v>0.99019999999999997</v>
      </c>
      <c r="G23" s="18">
        <v>0.65139999999999998</v>
      </c>
      <c r="H23" s="13">
        <v>1815</v>
      </c>
      <c r="I23" s="13">
        <v>1815</v>
      </c>
      <c r="J23" s="7">
        <v>5977339.9400000004</v>
      </c>
      <c r="K23" s="7">
        <v>3293.3</v>
      </c>
      <c r="L23" s="13">
        <v>0</v>
      </c>
      <c r="M23" s="18">
        <v>0</v>
      </c>
      <c r="N23" s="13">
        <v>1815</v>
      </c>
      <c r="O23" s="18">
        <v>1</v>
      </c>
      <c r="P23" s="13">
        <v>0</v>
      </c>
      <c r="Q23" s="18">
        <v>0</v>
      </c>
      <c r="R23" s="7"/>
      <c r="S23" s="7">
        <v>3293.3002424242432</v>
      </c>
      <c r="T23" s="7">
        <v>0</v>
      </c>
      <c r="U23" s="7">
        <v>303.64677569266701</v>
      </c>
    </row>
    <row r="24" spans="1:21" x14ac:dyDescent="0.35">
      <c r="A24" s="9" t="s">
        <v>139</v>
      </c>
      <c r="B24" s="9" t="s">
        <v>148</v>
      </c>
      <c r="C24" s="9" t="s">
        <v>141</v>
      </c>
      <c r="D24" s="9" t="s">
        <v>142</v>
      </c>
      <c r="E24" s="10">
        <v>9.15</v>
      </c>
      <c r="F24" s="16">
        <v>0.99019999999999997</v>
      </c>
      <c r="G24" s="16">
        <v>0.64959999999999996</v>
      </c>
      <c r="H24" s="12">
        <v>1701</v>
      </c>
      <c r="I24" s="12">
        <v>1701</v>
      </c>
      <c r="J24" s="10">
        <v>5808298.0199999996</v>
      </c>
      <c r="K24" s="10">
        <v>3414.64</v>
      </c>
      <c r="L24" s="12">
        <v>0</v>
      </c>
      <c r="M24" s="16">
        <v>0</v>
      </c>
      <c r="N24" s="12">
        <v>1701</v>
      </c>
      <c r="O24" s="16">
        <v>1</v>
      </c>
      <c r="P24" s="12">
        <v>0</v>
      </c>
      <c r="Q24" s="16">
        <v>0</v>
      </c>
      <c r="R24" s="10"/>
      <c r="S24" s="10">
        <v>3414.6372839506171</v>
      </c>
      <c r="T24" s="10">
        <v>0</v>
      </c>
      <c r="U24" s="10">
        <v>292.85687375938062</v>
      </c>
    </row>
    <row r="25" spans="1:21" x14ac:dyDescent="0.35">
      <c r="A25" s="6" t="s">
        <v>139</v>
      </c>
      <c r="B25" s="6" t="s">
        <v>147</v>
      </c>
      <c r="C25" s="6" t="s">
        <v>141</v>
      </c>
      <c r="D25" s="6" t="s">
        <v>142</v>
      </c>
      <c r="E25" s="7">
        <v>9.09</v>
      </c>
      <c r="F25" s="18">
        <v>0.9909</v>
      </c>
      <c r="G25" s="18">
        <v>0.65639999999999998</v>
      </c>
      <c r="H25" s="13">
        <v>1791</v>
      </c>
      <c r="I25" s="13">
        <v>1791</v>
      </c>
      <c r="J25" s="7">
        <v>5775470.4800000004</v>
      </c>
      <c r="K25" s="7">
        <v>3224.72</v>
      </c>
      <c r="L25" s="13">
        <v>0</v>
      </c>
      <c r="M25" s="18">
        <v>0</v>
      </c>
      <c r="N25" s="13">
        <v>1791</v>
      </c>
      <c r="O25" s="18">
        <v>1</v>
      </c>
      <c r="P25" s="13">
        <v>0</v>
      </c>
      <c r="Q25" s="18">
        <v>0</v>
      </c>
      <c r="R25" s="7"/>
      <c r="S25" s="7">
        <v>3224.7183026242319</v>
      </c>
      <c r="T25" s="7">
        <v>0</v>
      </c>
      <c r="U25" s="7">
        <v>310.10460640429068</v>
      </c>
    </row>
    <row r="26" spans="1:21" x14ac:dyDescent="0.35">
      <c r="A26" s="9" t="s">
        <v>150</v>
      </c>
      <c r="B26" s="9" t="s">
        <v>140</v>
      </c>
      <c r="C26" s="9" t="s">
        <v>141</v>
      </c>
      <c r="D26" s="9" t="s">
        <v>142</v>
      </c>
      <c r="E26" s="10">
        <v>9.1199999999999992</v>
      </c>
      <c r="F26" s="16">
        <v>0.98840000000000006</v>
      </c>
      <c r="G26" s="16">
        <v>0.64849999999999997</v>
      </c>
      <c r="H26" s="12">
        <v>1768</v>
      </c>
      <c r="I26" s="12">
        <v>1768</v>
      </c>
      <c r="J26" s="10">
        <v>5766892.4299999997</v>
      </c>
      <c r="K26" s="10">
        <v>3261.82</v>
      </c>
      <c r="L26" s="12">
        <v>0</v>
      </c>
      <c r="M26" s="16">
        <v>0</v>
      </c>
      <c r="N26" s="12">
        <v>1768</v>
      </c>
      <c r="O26" s="16">
        <v>1</v>
      </c>
      <c r="P26" s="12">
        <v>0</v>
      </c>
      <c r="Q26" s="16">
        <v>0</v>
      </c>
      <c r="R26" s="10"/>
      <c r="S26" s="10">
        <v>3261.8169852941169</v>
      </c>
      <c r="T26" s="10">
        <v>0</v>
      </c>
      <c r="U26" s="10">
        <v>306.57759295156472</v>
      </c>
    </row>
    <row r="27" spans="1:21" x14ac:dyDescent="0.35">
      <c r="A27" s="6" t="s">
        <v>143</v>
      </c>
      <c r="B27" s="6" t="s">
        <v>148</v>
      </c>
      <c r="C27" s="6" t="s">
        <v>141</v>
      </c>
      <c r="D27" s="6" t="s">
        <v>142</v>
      </c>
      <c r="E27" s="7">
        <v>9.08</v>
      </c>
      <c r="F27" s="18">
        <v>0.99080000000000001</v>
      </c>
      <c r="G27" s="18">
        <v>0.65510000000000002</v>
      </c>
      <c r="H27" s="13">
        <v>1674</v>
      </c>
      <c r="I27" s="13">
        <v>1674</v>
      </c>
      <c r="J27" s="7">
        <v>5624370.2699999996</v>
      </c>
      <c r="K27" s="7">
        <v>3359.84</v>
      </c>
      <c r="L27" s="13">
        <v>0</v>
      </c>
      <c r="M27" s="18">
        <v>0</v>
      </c>
      <c r="N27" s="13">
        <v>1674</v>
      </c>
      <c r="O27" s="18">
        <v>1</v>
      </c>
      <c r="P27" s="13">
        <v>0</v>
      </c>
      <c r="Q27" s="18">
        <v>0</v>
      </c>
      <c r="R27" s="7"/>
      <c r="S27" s="7">
        <v>3359.838870967742</v>
      </c>
      <c r="T27" s="7">
        <v>0</v>
      </c>
      <c r="U27" s="7">
        <v>297.63332064551292</v>
      </c>
    </row>
    <row r="28" spans="1:21" x14ac:dyDescent="0.35">
      <c r="A28" s="9" t="s">
        <v>150</v>
      </c>
      <c r="B28" s="9" t="s">
        <v>145</v>
      </c>
      <c r="C28" s="9" t="s">
        <v>141</v>
      </c>
      <c r="D28" s="9" t="s">
        <v>142</v>
      </c>
      <c r="E28" s="10">
        <v>9.1300000000000008</v>
      </c>
      <c r="F28" s="16">
        <v>0.99180000000000001</v>
      </c>
      <c r="G28" s="16">
        <v>0.65459999999999996</v>
      </c>
      <c r="H28" s="12">
        <v>1759</v>
      </c>
      <c r="I28" s="12">
        <v>1759</v>
      </c>
      <c r="J28" s="10">
        <v>5619099.7300000004</v>
      </c>
      <c r="K28" s="10">
        <v>3194.49</v>
      </c>
      <c r="L28" s="12">
        <v>0</v>
      </c>
      <c r="M28" s="16">
        <v>0</v>
      </c>
      <c r="N28" s="12">
        <v>1759</v>
      </c>
      <c r="O28" s="16">
        <v>1</v>
      </c>
      <c r="P28" s="12">
        <v>0</v>
      </c>
      <c r="Q28" s="16">
        <v>0</v>
      </c>
      <c r="R28" s="10"/>
      <c r="S28" s="10">
        <v>3194.4853496304718</v>
      </c>
      <c r="T28" s="10">
        <v>0</v>
      </c>
      <c r="U28" s="10">
        <v>313.03946975861908</v>
      </c>
    </row>
    <row r="29" spans="1:21" x14ac:dyDescent="0.35">
      <c r="A29" s="6" t="s">
        <v>146</v>
      </c>
      <c r="B29" s="6" t="s">
        <v>140</v>
      </c>
      <c r="C29" s="6" t="s">
        <v>141</v>
      </c>
      <c r="D29" s="6" t="s">
        <v>142</v>
      </c>
      <c r="E29" s="7">
        <v>9.11</v>
      </c>
      <c r="F29" s="18">
        <v>0.99029999999999996</v>
      </c>
      <c r="G29" s="18">
        <v>0.65760000000000007</v>
      </c>
      <c r="H29" s="13">
        <v>1780</v>
      </c>
      <c r="I29" s="13">
        <v>1780</v>
      </c>
      <c r="J29" s="7">
        <v>5594974.25</v>
      </c>
      <c r="K29" s="7">
        <v>3143.24</v>
      </c>
      <c r="L29" s="13">
        <v>0</v>
      </c>
      <c r="M29" s="18">
        <v>0</v>
      </c>
      <c r="N29" s="13">
        <v>1780</v>
      </c>
      <c r="O29" s="18">
        <v>1</v>
      </c>
      <c r="P29" s="13">
        <v>0</v>
      </c>
      <c r="Q29" s="18">
        <v>0</v>
      </c>
      <c r="R29" s="7"/>
      <c r="S29" s="7">
        <v>3143.2439606741568</v>
      </c>
      <c r="T29" s="7">
        <v>0</v>
      </c>
      <c r="U29" s="7">
        <v>318.14266169321508</v>
      </c>
    </row>
    <row r="30" spans="1:21" x14ac:dyDescent="0.35">
      <c r="A30" s="9" t="s">
        <v>143</v>
      </c>
      <c r="B30" s="9" t="s">
        <v>151</v>
      </c>
      <c r="C30" s="9" t="s">
        <v>141</v>
      </c>
      <c r="D30" s="9" t="s">
        <v>142</v>
      </c>
      <c r="E30" s="10">
        <v>9.19</v>
      </c>
      <c r="F30" s="16">
        <v>0.9899</v>
      </c>
      <c r="G30" s="16">
        <v>0.64879999999999993</v>
      </c>
      <c r="H30" s="12">
        <v>1723</v>
      </c>
      <c r="I30" s="12">
        <v>1723</v>
      </c>
      <c r="J30" s="10">
        <v>5406470.2699999996</v>
      </c>
      <c r="K30" s="10">
        <v>3137.82</v>
      </c>
      <c r="L30" s="12">
        <v>0</v>
      </c>
      <c r="M30" s="16">
        <v>0</v>
      </c>
      <c r="N30" s="12">
        <v>1723</v>
      </c>
      <c r="O30" s="16">
        <v>1</v>
      </c>
      <c r="P30" s="12">
        <v>0</v>
      </c>
      <c r="Q30" s="16">
        <v>0</v>
      </c>
      <c r="R30" s="10"/>
      <c r="S30" s="10">
        <v>3137.8237202553678</v>
      </c>
      <c r="T30" s="10">
        <v>0</v>
      </c>
      <c r="U30" s="10">
        <v>318.6922176490578</v>
      </c>
    </row>
    <row r="31" spans="1:21" x14ac:dyDescent="0.35">
      <c r="A31" s="6" t="s">
        <v>149</v>
      </c>
      <c r="B31" s="6" t="s">
        <v>140</v>
      </c>
      <c r="C31" s="6" t="s">
        <v>141</v>
      </c>
      <c r="D31" s="6" t="s">
        <v>142</v>
      </c>
      <c r="E31" s="7">
        <v>9.15</v>
      </c>
      <c r="F31" s="18">
        <v>0.99060000000000004</v>
      </c>
      <c r="G31" s="18">
        <v>0.64780000000000004</v>
      </c>
      <c r="H31" s="13">
        <v>1770</v>
      </c>
      <c r="I31" s="13">
        <v>1770</v>
      </c>
      <c r="J31" s="7">
        <v>5228739.82</v>
      </c>
      <c r="K31" s="7">
        <v>2954.09</v>
      </c>
      <c r="L31" s="13">
        <v>0</v>
      </c>
      <c r="M31" s="18">
        <v>0</v>
      </c>
      <c r="N31" s="13">
        <v>1770</v>
      </c>
      <c r="O31" s="18">
        <v>1</v>
      </c>
      <c r="P31" s="13">
        <v>0</v>
      </c>
      <c r="Q31" s="18">
        <v>0</v>
      </c>
      <c r="R31" s="7"/>
      <c r="S31" s="7">
        <v>2954.0902937853111</v>
      </c>
      <c r="T31" s="7">
        <v>0</v>
      </c>
      <c r="U31" s="7">
        <v>338.51368798839951</v>
      </c>
    </row>
    <row r="32" spans="1:21" x14ac:dyDescent="0.35">
      <c r="A32" s="9" t="s">
        <v>143</v>
      </c>
      <c r="B32" s="9" t="s">
        <v>140</v>
      </c>
      <c r="C32" s="9" t="s">
        <v>141</v>
      </c>
      <c r="D32" s="9" t="s">
        <v>142</v>
      </c>
      <c r="E32" s="10">
        <v>9.11</v>
      </c>
      <c r="F32" s="16">
        <v>0.98959999999999992</v>
      </c>
      <c r="G32" s="16">
        <v>0.65239999999999998</v>
      </c>
      <c r="H32" s="12">
        <v>1737</v>
      </c>
      <c r="I32" s="12">
        <v>1737</v>
      </c>
      <c r="J32" s="10">
        <v>5221339.01</v>
      </c>
      <c r="K32" s="10">
        <v>3005.95</v>
      </c>
      <c r="L32" s="12">
        <v>0</v>
      </c>
      <c r="M32" s="16">
        <v>0</v>
      </c>
      <c r="N32" s="12">
        <v>1737</v>
      </c>
      <c r="O32" s="16">
        <v>1</v>
      </c>
      <c r="P32" s="12">
        <v>0</v>
      </c>
      <c r="Q32" s="16">
        <v>0</v>
      </c>
      <c r="R32" s="10"/>
      <c r="S32" s="10">
        <v>3005.9522222222222</v>
      </c>
      <c r="T32" s="10">
        <v>0</v>
      </c>
      <c r="U32" s="10">
        <v>332.67328489363882</v>
      </c>
    </row>
    <row r="33" spans="1:21" x14ac:dyDescent="0.35">
      <c r="A33" s="6" t="s">
        <v>149</v>
      </c>
      <c r="B33" s="6" t="s">
        <v>147</v>
      </c>
      <c r="C33" s="6" t="s">
        <v>141</v>
      </c>
      <c r="D33" s="6" t="s">
        <v>142</v>
      </c>
      <c r="E33" s="7">
        <v>9.27</v>
      </c>
      <c r="F33" s="18">
        <v>0.98970000000000002</v>
      </c>
      <c r="G33" s="18">
        <v>0.64879999999999993</v>
      </c>
      <c r="H33" s="13">
        <v>1796</v>
      </c>
      <c r="I33" s="13">
        <v>1796</v>
      </c>
      <c r="J33" s="7">
        <v>5159516.47</v>
      </c>
      <c r="K33" s="7">
        <v>2872.78</v>
      </c>
      <c r="L33" s="13">
        <v>0</v>
      </c>
      <c r="M33" s="18">
        <v>0</v>
      </c>
      <c r="N33" s="13">
        <v>1796</v>
      </c>
      <c r="O33" s="18">
        <v>1</v>
      </c>
      <c r="P33" s="13">
        <v>0</v>
      </c>
      <c r="Q33" s="18">
        <v>0</v>
      </c>
      <c r="R33" s="7"/>
      <c r="S33" s="7">
        <v>2872.7819988864139</v>
      </c>
      <c r="T33" s="7">
        <v>0</v>
      </c>
      <c r="U33" s="7">
        <v>348.0946345346195</v>
      </c>
    </row>
    <row r="34" spans="1:21" x14ac:dyDescent="0.35">
      <c r="A34" s="9" t="s">
        <v>150</v>
      </c>
      <c r="B34" s="9" t="s">
        <v>151</v>
      </c>
      <c r="C34" s="9" t="s">
        <v>152</v>
      </c>
      <c r="D34" s="9" t="s">
        <v>142</v>
      </c>
      <c r="E34" s="10">
        <v>9.16</v>
      </c>
      <c r="F34" s="16">
        <v>0.99099999999999999</v>
      </c>
      <c r="G34" s="16">
        <v>0.65069999999999995</v>
      </c>
      <c r="H34" s="12">
        <v>1196</v>
      </c>
      <c r="I34" s="12">
        <v>1196</v>
      </c>
      <c r="J34" s="10">
        <v>5145471.08</v>
      </c>
      <c r="K34" s="10">
        <v>4302.2299999999996</v>
      </c>
      <c r="L34" s="12">
        <v>1196</v>
      </c>
      <c r="M34" s="16">
        <v>1</v>
      </c>
      <c r="N34" s="12">
        <v>1196</v>
      </c>
      <c r="O34" s="16">
        <v>1</v>
      </c>
      <c r="P34" s="12">
        <v>0</v>
      </c>
      <c r="Q34" s="16">
        <v>0</v>
      </c>
      <c r="R34" s="10">
        <v>4302.2299999999996</v>
      </c>
      <c r="S34" s="10">
        <v>4302.2333444816059</v>
      </c>
      <c r="T34" s="10">
        <v>232.43741562337181</v>
      </c>
      <c r="U34" s="10">
        <v>232.43741562337181</v>
      </c>
    </row>
    <row r="35" spans="1:21" x14ac:dyDescent="0.35">
      <c r="A35" s="6" t="s">
        <v>149</v>
      </c>
      <c r="B35" s="6" t="s">
        <v>140</v>
      </c>
      <c r="C35" s="6" t="s">
        <v>152</v>
      </c>
      <c r="D35" s="6" t="s">
        <v>142</v>
      </c>
      <c r="E35" s="7">
        <v>9.16</v>
      </c>
      <c r="F35" s="18">
        <v>0.98970000000000002</v>
      </c>
      <c r="G35" s="18">
        <v>0.65099999999999991</v>
      </c>
      <c r="H35" s="13">
        <v>1186</v>
      </c>
      <c r="I35" s="13">
        <v>1186</v>
      </c>
      <c r="J35" s="7">
        <v>5115946.08</v>
      </c>
      <c r="K35" s="7">
        <v>4313.6099999999997</v>
      </c>
      <c r="L35" s="13">
        <v>1186</v>
      </c>
      <c r="M35" s="18">
        <v>1</v>
      </c>
      <c r="N35" s="13">
        <v>1186</v>
      </c>
      <c r="O35" s="18">
        <v>1</v>
      </c>
      <c r="P35" s="13">
        <v>0</v>
      </c>
      <c r="Q35" s="18">
        <v>0</v>
      </c>
      <c r="R35" s="7">
        <v>4313.6099999999997</v>
      </c>
      <c r="S35" s="7">
        <v>4313.6138954468806</v>
      </c>
      <c r="T35" s="7">
        <v>231.8241790382591</v>
      </c>
      <c r="U35" s="7">
        <v>231.8241790382591</v>
      </c>
    </row>
    <row r="36" spans="1:21" x14ac:dyDescent="0.35">
      <c r="A36" s="9" t="s">
        <v>150</v>
      </c>
      <c r="B36" s="9" t="s">
        <v>148</v>
      </c>
      <c r="C36" s="9" t="s">
        <v>141</v>
      </c>
      <c r="D36" s="9" t="s">
        <v>142</v>
      </c>
      <c r="E36" s="10">
        <v>9.1999999999999993</v>
      </c>
      <c r="F36" s="16">
        <v>0.99129999999999996</v>
      </c>
      <c r="G36" s="16">
        <v>0.6470999999999999</v>
      </c>
      <c r="H36" s="12">
        <v>1730</v>
      </c>
      <c r="I36" s="12">
        <v>1730</v>
      </c>
      <c r="J36" s="10">
        <v>5034417.22</v>
      </c>
      <c r="K36" s="10">
        <v>2910.07</v>
      </c>
      <c r="L36" s="12">
        <v>0</v>
      </c>
      <c r="M36" s="16">
        <v>0</v>
      </c>
      <c r="N36" s="12">
        <v>1730</v>
      </c>
      <c r="O36" s="16">
        <v>1</v>
      </c>
      <c r="P36" s="12">
        <v>0</v>
      </c>
      <c r="Q36" s="16">
        <v>0</v>
      </c>
      <c r="R36" s="10"/>
      <c r="S36" s="10">
        <v>2910.067757225434</v>
      </c>
      <c r="T36" s="10">
        <v>0</v>
      </c>
      <c r="U36" s="10">
        <v>343.63461040283028</v>
      </c>
    </row>
    <row r="37" spans="1:21" x14ac:dyDescent="0.35">
      <c r="A37" s="6" t="s">
        <v>150</v>
      </c>
      <c r="B37" s="6" t="s">
        <v>151</v>
      </c>
      <c r="C37" s="6" t="s">
        <v>141</v>
      </c>
      <c r="D37" s="6" t="s">
        <v>142</v>
      </c>
      <c r="E37" s="7">
        <v>9.14</v>
      </c>
      <c r="F37" s="18">
        <v>0.98930000000000007</v>
      </c>
      <c r="G37" s="18">
        <v>0.65529999999999999</v>
      </c>
      <c r="H37" s="13">
        <v>1731</v>
      </c>
      <c r="I37" s="13">
        <v>1731</v>
      </c>
      <c r="J37" s="7">
        <v>5024439.21</v>
      </c>
      <c r="K37" s="7">
        <v>2902.62</v>
      </c>
      <c r="L37" s="13">
        <v>0</v>
      </c>
      <c r="M37" s="18">
        <v>0</v>
      </c>
      <c r="N37" s="13">
        <v>1731</v>
      </c>
      <c r="O37" s="18">
        <v>1</v>
      </c>
      <c r="P37" s="13">
        <v>0</v>
      </c>
      <c r="Q37" s="18">
        <v>0</v>
      </c>
      <c r="R37" s="7"/>
      <c r="S37" s="7">
        <v>2902.622305025996</v>
      </c>
      <c r="T37" s="7">
        <v>0</v>
      </c>
      <c r="U37" s="7">
        <v>344.51605993258698</v>
      </c>
    </row>
    <row r="38" spans="1:21" x14ac:dyDescent="0.35">
      <c r="A38" s="9" t="s">
        <v>150</v>
      </c>
      <c r="B38" s="9" t="s">
        <v>144</v>
      </c>
      <c r="C38" s="9" t="s">
        <v>152</v>
      </c>
      <c r="D38" s="9" t="s">
        <v>142</v>
      </c>
      <c r="E38" s="10">
        <v>9.1300000000000008</v>
      </c>
      <c r="F38" s="16">
        <v>0.98970000000000002</v>
      </c>
      <c r="G38" s="16">
        <v>0.65400000000000003</v>
      </c>
      <c r="H38" s="12">
        <v>1181</v>
      </c>
      <c r="I38" s="12">
        <v>1181</v>
      </c>
      <c r="J38" s="10">
        <v>5005645.71</v>
      </c>
      <c r="K38" s="10">
        <v>4238.4799999999996</v>
      </c>
      <c r="L38" s="12">
        <v>1181</v>
      </c>
      <c r="M38" s="16">
        <v>1</v>
      </c>
      <c r="N38" s="12">
        <v>1181</v>
      </c>
      <c r="O38" s="16">
        <v>1</v>
      </c>
      <c r="P38" s="12">
        <v>0</v>
      </c>
      <c r="Q38" s="16">
        <v>0</v>
      </c>
      <c r="R38" s="10">
        <v>4238.4799999999996</v>
      </c>
      <c r="S38" s="10">
        <v>4238.4807027942416</v>
      </c>
      <c r="T38" s="10">
        <v>235.93359746589019</v>
      </c>
      <c r="U38" s="10">
        <v>235.93359746589019</v>
      </c>
    </row>
    <row r="39" spans="1:21" x14ac:dyDescent="0.35">
      <c r="A39" s="6" t="s">
        <v>139</v>
      </c>
      <c r="B39" s="6" t="s">
        <v>145</v>
      </c>
      <c r="C39" s="6" t="s">
        <v>152</v>
      </c>
      <c r="D39" s="6" t="s">
        <v>142</v>
      </c>
      <c r="E39" s="7">
        <v>9.11</v>
      </c>
      <c r="F39" s="18">
        <v>0.99209999999999998</v>
      </c>
      <c r="G39" s="18">
        <v>0.64859999999999995</v>
      </c>
      <c r="H39" s="13">
        <v>1166</v>
      </c>
      <c r="I39" s="13">
        <v>1166</v>
      </c>
      <c r="J39" s="7">
        <v>4917730.3</v>
      </c>
      <c r="K39" s="7">
        <v>4217.6099999999997</v>
      </c>
      <c r="L39" s="13">
        <v>1166</v>
      </c>
      <c r="M39" s="18">
        <v>1</v>
      </c>
      <c r="N39" s="13">
        <v>1166</v>
      </c>
      <c r="O39" s="18">
        <v>1</v>
      </c>
      <c r="P39" s="13">
        <v>0</v>
      </c>
      <c r="Q39" s="18">
        <v>0</v>
      </c>
      <c r="R39" s="7">
        <v>4217.6099999999997</v>
      </c>
      <c r="S39" s="7">
        <v>4217.6074614065183</v>
      </c>
      <c r="T39" s="7">
        <v>237.10124973709921</v>
      </c>
      <c r="U39" s="7">
        <v>237.10124973709921</v>
      </c>
    </row>
    <row r="40" spans="1:21" x14ac:dyDescent="0.35">
      <c r="A40" s="9" t="s">
        <v>150</v>
      </c>
      <c r="B40" s="9" t="s">
        <v>147</v>
      </c>
      <c r="C40" s="9" t="s">
        <v>152</v>
      </c>
      <c r="D40" s="9" t="s">
        <v>142</v>
      </c>
      <c r="E40" s="10">
        <v>9.24</v>
      </c>
      <c r="F40" s="16">
        <v>0.99230000000000007</v>
      </c>
      <c r="G40" s="16">
        <v>0.64500000000000002</v>
      </c>
      <c r="H40" s="12">
        <v>1199</v>
      </c>
      <c r="I40" s="12">
        <v>1199</v>
      </c>
      <c r="J40" s="10">
        <v>4746387.99</v>
      </c>
      <c r="K40" s="10">
        <v>3958.62</v>
      </c>
      <c r="L40" s="12">
        <v>1199</v>
      </c>
      <c r="M40" s="16">
        <v>1</v>
      </c>
      <c r="N40" s="12">
        <v>1199</v>
      </c>
      <c r="O40" s="16">
        <v>1</v>
      </c>
      <c r="P40" s="12">
        <v>0</v>
      </c>
      <c r="Q40" s="16">
        <v>0</v>
      </c>
      <c r="R40" s="10">
        <v>3958.62</v>
      </c>
      <c r="S40" s="10">
        <v>3958.6221768140122</v>
      </c>
      <c r="T40" s="10">
        <v>252.61314551741901</v>
      </c>
      <c r="U40" s="10">
        <v>252.61314551741901</v>
      </c>
    </row>
    <row r="41" spans="1:21" x14ac:dyDescent="0.35">
      <c r="A41" s="6" t="s">
        <v>146</v>
      </c>
      <c r="B41" s="6" t="s">
        <v>145</v>
      </c>
      <c r="C41" s="6" t="s">
        <v>152</v>
      </c>
      <c r="D41" s="6" t="s">
        <v>142</v>
      </c>
      <c r="E41" s="7">
        <v>9.2200000000000006</v>
      </c>
      <c r="F41" s="18">
        <v>0.99069999999999991</v>
      </c>
      <c r="G41" s="18">
        <v>0.65040000000000009</v>
      </c>
      <c r="H41" s="13">
        <v>1192</v>
      </c>
      <c r="I41" s="13">
        <v>1192</v>
      </c>
      <c r="J41" s="7">
        <v>4620314.5999999996</v>
      </c>
      <c r="K41" s="7">
        <v>3876.1</v>
      </c>
      <c r="L41" s="13">
        <v>1192</v>
      </c>
      <c r="M41" s="18">
        <v>1</v>
      </c>
      <c r="N41" s="13">
        <v>1192</v>
      </c>
      <c r="O41" s="18">
        <v>1</v>
      </c>
      <c r="P41" s="13">
        <v>0</v>
      </c>
      <c r="Q41" s="18">
        <v>0</v>
      </c>
      <c r="R41" s="7">
        <v>3876.1</v>
      </c>
      <c r="S41" s="7">
        <v>3876.1028523489931</v>
      </c>
      <c r="T41" s="7">
        <v>257.99109004395513</v>
      </c>
      <c r="U41" s="7">
        <v>257.99109004395513</v>
      </c>
    </row>
    <row r="42" spans="1:21" x14ac:dyDescent="0.35">
      <c r="A42" s="9" t="s">
        <v>149</v>
      </c>
      <c r="B42" s="9" t="s">
        <v>148</v>
      </c>
      <c r="C42" s="9" t="s">
        <v>152</v>
      </c>
      <c r="D42" s="9" t="s">
        <v>142</v>
      </c>
      <c r="E42" s="10">
        <v>9.1999999999999993</v>
      </c>
      <c r="F42" s="16">
        <v>0.99159999999999993</v>
      </c>
      <c r="G42" s="16">
        <v>0.64950000000000008</v>
      </c>
      <c r="H42" s="12">
        <v>1162</v>
      </c>
      <c r="I42" s="12">
        <v>1162</v>
      </c>
      <c r="J42" s="10">
        <v>4500020.01</v>
      </c>
      <c r="K42" s="10">
        <v>3872.65</v>
      </c>
      <c r="L42" s="12">
        <v>1162</v>
      </c>
      <c r="M42" s="16">
        <v>1</v>
      </c>
      <c r="N42" s="12">
        <v>1162</v>
      </c>
      <c r="O42" s="16">
        <v>1</v>
      </c>
      <c r="P42" s="12">
        <v>0</v>
      </c>
      <c r="Q42" s="16">
        <v>0</v>
      </c>
      <c r="R42" s="10">
        <v>3872.65</v>
      </c>
      <c r="S42" s="10">
        <v>3872.650611015491</v>
      </c>
      <c r="T42" s="10">
        <v>258.22107399917991</v>
      </c>
      <c r="U42" s="10">
        <v>258.22107399917991</v>
      </c>
    </row>
    <row r="43" spans="1:21" x14ac:dyDescent="0.35">
      <c r="A43" s="6" t="s">
        <v>139</v>
      </c>
      <c r="B43" s="6" t="s">
        <v>151</v>
      </c>
      <c r="C43" s="6" t="s">
        <v>152</v>
      </c>
      <c r="D43" s="6" t="s">
        <v>142</v>
      </c>
      <c r="E43" s="7">
        <v>9.2200000000000006</v>
      </c>
      <c r="F43" s="18">
        <v>0.99019999999999997</v>
      </c>
      <c r="G43" s="18">
        <v>0.64260000000000006</v>
      </c>
      <c r="H43" s="13">
        <v>1159</v>
      </c>
      <c r="I43" s="13">
        <v>1159</v>
      </c>
      <c r="J43" s="7">
        <v>4466065.05</v>
      </c>
      <c r="K43" s="7">
        <v>3853.38</v>
      </c>
      <c r="L43" s="13">
        <v>1159</v>
      </c>
      <c r="M43" s="18">
        <v>1</v>
      </c>
      <c r="N43" s="13">
        <v>1159</v>
      </c>
      <c r="O43" s="18">
        <v>1</v>
      </c>
      <c r="P43" s="13">
        <v>0</v>
      </c>
      <c r="Q43" s="18">
        <v>0</v>
      </c>
      <c r="R43" s="7">
        <v>3853.38</v>
      </c>
      <c r="S43" s="7">
        <v>3853.3779551337361</v>
      </c>
      <c r="T43" s="7">
        <v>259.51256576524793</v>
      </c>
      <c r="U43" s="7">
        <v>259.51256576524793</v>
      </c>
    </row>
    <row r="44" spans="1:21" x14ac:dyDescent="0.35">
      <c r="A44" s="9" t="s">
        <v>143</v>
      </c>
      <c r="B44" s="9" t="s">
        <v>148</v>
      </c>
      <c r="C44" s="9" t="s">
        <v>152</v>
      </c>
      <c r="D44" s="9" t="s">
        <v>142</v>
      </c>
      <c r="E44" s="10">
        <v>9.19</v>
      </c>
      <c r="F44" s="16">
        <v>0.99260000000000004</v>
      </c>
      <c r="G44" s="16">
        <v>0.64749999999999996</v>
      </c>
      <c r="H44" s="12">
        <v>1161</v>
      </c>
      <c r="I44" s="12">
        <v>1161</v>
      </c>
      <c r="J44" s="10">
        <v>4419043.42</v>
      </c>
      <c r="K44" s="10">
        <v>3806.24</v>
      </c>
      <c r="L44" s="12">
        <v>1161</v>
      </c>
      <c r="M44" s="16">
        <v>1</v>
      </c>
      <c r="N44" s="12">
        <v>1161</v>
      </c>
      <c r="O44" s="16">
        <v>1</v>
      </c>
      <c r="P44" s="12">
        <v>0</v>
      </c>
      <c r="Q44" s="16">
        <v>0</v>
      </c>
      <c r="R44" s="10">
        <v>3806.24</v>
      </c>
      <c r="S44" s="10">
        <v>3806.2389491817398</v>
      </c>
      <c r="T44" s="10">
        <v>262.726542750286</v>
      </c>
      <c r="U44" s="10">
        <v>262.726542750286</v>
      </c>
    </row>
    <row r="45" spans="1:21" x14ac:dyDescent="0.35">
      <c r="A45" s="6" t="s">
        <v>146</v>
      </c>
      <c r="B45" s="6" t="s">
        <v>144</v>
      </c>
      <c r="C45" s="6" t="s">
        <v>152</v>
      </c>
      <c r="D45" s="6" t="s">
        <v>142</v>
      </c>
      <c r="E45" s="7">
        <v>9.16</v>
      </c>
      <c r="F45" s="18">
        <v>0.99029999999999996</v>
      </c>
      <c r="G45" s="18">
        <v>0.64599999999999991</v>
      </c>
      <c r="H45" s="13">
        <v>1206</v>
      </c>
      <c r="I45" s="13">
        <v>1206</v>
      </c>
      <c r="J45" s="7">
        <v>4353733.8899999997</v>
      </c>
      <c r="K45" s="7">
        <v>3610.06</v>
      </c>
      <c r="L45" s="13">
        <v>1206</v>
      </c>
      <c r="M45" s="18">
        <v>1</v>
      </c>
      <c r="N45" s="13">
        <v>1206</v>
      </c>
      <c r="O45" s="18">
        <v>1</v>
      </c>
      <c r="P45" s="13">
        <v>0</v>
      </c>
      <c r="Q45" s="18">
        <v>0</v>
      </c>
      <c r="R45" s="7">
        <v>3610.06</v>
      </c>
      <c r="S45" s="7">
        <v>3610.061268656716</v>
      </c>
      <c r="T45" s="7">
        <v>277.00360896425849</v>
      </c>
      <c r="U45" s="7">
        <v>277.00360896425849</v>
      </c>
    </row>
    <row r="46" spans="1:21" x14ac:dyDescent="0.35">
      <c r="A46" s="9" t="s">
        <v>149</v>
      </c>
      <c r="B46" s="9" t="s">
        <v>147</v>
      </c>
      <c r="C46" s="9" t="s">
        <v>152</v>
      </c>
      <c r="D46" s="9" t="s">
        <v>142</v>
      </c>
      <c r="E46" s="10">
        <v>9.1</v>
      </c>
      <c r="F46" s="16">
        <v>0.99120000000000008</v>
      </c>
      <c r="G46" s="16">
        <v>0.64280000000000004</v>
      </c>
      <c r="H46" s="12">
        <v>1213</v>
      </c>
      <c r="I46" s="12">
        <v>1213</v>
      </c>
      <c r="J46" s="10">
        <v>4242566.88</v>
      </c>
      <c r="K46" s="10">
        <v>3497.58</v>
      </c>
      <c r="L46" s="12">
        <v>1213</v>
      </c>
      <c r="M46" s="16">
        <v>1</v>
      </c>
      <c r="N46" s="12">
        <v>1213</v>
      </c>
      <c r="O46" s="16">
        <v>1</v>
      </c>
      <c r="P46" s="12">
        <v>0</v>
      </c>
      <c r="Q46" s="16">
        <v>0</v>
      </c>
      <c r="R46" s="10">
        <v>3497.58</v>
      </c>
      <c r="S46" s="10">
        <v>3497.5819291014009</v>
      </c>
      <c r="T46" s="10">
        <v>285.91181572604933</v>
      </c>
      <c r="U46" s="10">
        <v>285.91181572604933</v>
      </c>
    </row>
    <row r="47" spans="1:21" x14ac:dyDescent="0.35">
      <c r="A47" s="6" t="s">
        <v>139</v>
      </c>
      <c r="B47" s="6" t="s">
        <v>148</v>
      </c>
      <c r="C47" s="6" t="s">
        <v>152</v>
      </c>
      <c r="D47" s="6" t="s">
        <v>142</v>
      </c>
      <c r="E47" s="7">
        <v>9.15</v>
      </c>
      <c r="F47" s="18">
        <v>0.99019999999999997</v>
      </c>
      <c r="G47" s="18">
        <v>0.64989999999999992</v>
      </c>
      <c r="H47" s="13">
        <v>1135</v>
      </c>
      <c r="I47" s="13">
        <v>1135</v>
      </c>
      <c r="J47" s="7">
        <v>4170186.38</v>
      </c>
      <c r="K47" s="7">
        <v>3674.17</v>
      </c>
      <c r="L47" s="13">
        <v>1135</v>
      </c>
      <c r="M47" s="18">
        <v>1</v>
      </c>
      <c r="N47" s="13">
        <v>1135</v>
      </c>
      <c r="O47" s="18">
        <v>1</v>
      </c>
      <c r="P47" s="13">
        <v>0</v>
      </c>
      <c r="Q47" s="18">
        <v>0</v>
      </c>
      <c r="R47" s="7">
        <v>3674.17</v>
      </c>
      <c r="S47" s="7">
        <v>3674.1730220264321</v>
      </c>
      <c r="T47" s="7">
        <v>272.1700894337485</v>
      </c>
      <c r="U47" s="7">
        <v>272.1700894337485</v>
      </c>
    </row>
    <row r="48" spans="1:21" x14ac:dyDescent="0.35">
      <c r="A48" s="9" t="s">
        <v>143</v>
      </c>
      <c r="B48" s="9" t="s">
        <v>144</v>
      </c>
      <c r="C48" s="9" t="s">
        <v>152</v>
      </c>
      <c r="D48" s="9" t="s">
        <v>142</v>
      </c>
      <c r="E48" s="10">
        <v>9.11</v>
      </c>
      <c r="F48" s="16">
        <v>0.9909</v>
      </c>
      <c r="G48" s="16">
        <v>0.6512</v>
      </c>
      <c r="H48" s="12">
        <v>1216</v>
      </c>
      <c r="I48" s="12">
        <v>1216</v>
      </c>
      <c r="J48" s="10">
        <v>4133585.13</v>
      </c>
      <c r="K48" s="10">
        <v>3399.33</v>
      </c>
      <c r="L48" s="12">
        <v>1216</v>
      </c>
      <c r="M48" s="16">
        <v>1</v>
      </c>
      <c r="N48" s="12">
        <v>1216</v>
      </c>
      <c r="O48" s="16">
        <v>1</v>
      </c>
      <c r="P48" s="12">
        <v>0</v>
      </c>
      <c r="Q48" s="16">
        <v>0</v>
      </c>
      <c r="R48" s="10">
        <v>3399.33</v>
      </c>
      <c r="S48" s="10">
        <v>3399.3298766447369</v>
      </c>
      <c r="T48" s="10">
        <v>294.17562763489042</v>
      </c>
      <c r="U48" s="10">
        <v>294.17562763489042</v>
      </c>
    </row>
    <row r="49" spans="1:21" x14ac:dyDescent="0.35">
      <c r="A49" s="6" t="s">
        <v>146</v>
      </c>
      <c r="B49" s="6" t="s">
        <v>148</v>
      </c>
      <c r="C49" s="6" t="s">
        <v>152</v>
      </c>
      <c r="D49" s="6" t="s">
        <v>142</v>
      </c>
      <c r="E49" s="7">
        <v>9.19</v>
      </c>
      <c r="F49" s="18">
        <v>0.99080000000000001</v>
      </c>
      <c r="G49" s="18">
        <v>0.64579999999999993</v>
      </c>
      <c r="H49" s="13">
        <v>1167</v>
      </c>
      <c r="I49" s="13">
        <v>1167</v>
      </c>
      <c r="J49" s="7">
        <v>4079254.08</v>
      </c>
      <c r="K49" s="7">
        <v>3495.5</v>
      </c>
      <c r="L49" s="13">
        <v>1167</v>
      </c>
      <c r="M49" s="18">
        <v>1</v>
      </c>
      <c r="N49" s="13">
        <v>1167</v>
      </c>
      <c r="O49" s="18">
        <v>1</v>
      </c>
      <c r="P49" s="13">
        <v>0</v>
      </c>
      <c r="Q49" s="18">
        <v>0</v>
      </c>
      <c r="R49" s="7">
        <v>3495.5</v>
      </c>
      <c r="S49" s="7">
        <v>3495.5047814910031</v>
      </c>
      <c r="T49" s="7">
        <v>286.08171423340218</v>
      </c>
      <c r="U49" s="7">
        <v>286.08171423340218</v>
      </c>
    </row>
    <row r="50" spans="1:21" x14ac:dyDescent="0.35">
      <c r="A50" s="9" t="s">
        <v>150</v>
      </c>
      <c r="B50" s="9" t="s">
        <v>145</v>
      </c>
      <c r="C50" s="9" t="s">
        <v>152</v>
      </c>
      <c r="D50" s="9" t="s">
        <v>142</v>
      </c>
      <c r="E50" s="10">
        <v>9.25</v>
      </c>
      <c r="F50" s="16">
        <v>0.98939999999999995</v>
      </c>
      <c r="G50" s="16">
        <v>0.6452</v>
      </c>
      <c r="H50" s="12">
        <v>1181</v>
      </c>
      <c r="I50" s="12">
        <v>1181</v>
      </c>
      <c r="J50" s="10">
        <v>3955449.12</v>
      </c>
      <c r="K50" s="10">
        <v>3349.24</v>
      </c>
      <c r="L50" s="12">
        <v>1181</v>
      </c>
      <c r="M50" s="16">
        <v>1</v>
      </c>
      <c r="N50" s="12">
        <v>1181</v>
      </c>
      <c r="O50" s="16">
        <v>1</v>
      </c>
      <c r="P50" s="12">
        <v>0</v>
      </c>
      <c r="Q50" s="16">
        <v>0</v>
      </c>
      <c r="R50" s="10">
        <v>3349.24</v>
      </c>
      <c r="S50" s="10">
        <v>3349.2371888230309</v>
      </c>
      <c r="T50" s="10">
        <v>298.57544975828182</v>
      </c>
      <c r="U50" s="10">
        <v>298.57544975828182</v>
      </c>
    </row>
    <row r="51" spans="1:21" x14ac:dyDescent="0.35">
      <c r="A51" s="6" t="s">
        <v>139</v>
      </c>
      <c r="B51" s="6" t="s">
        <v>140</v>
      </c>
      <c r="C51" s="6" t="s">
        <v>152</v>
      </c>
      <c r="D51" s="6" t="s">
        <v>142</v>
      </c>
      <c r="E51" s="7">
        <v>9.1300000000000008</v>
      </c>
      <c r="F51" s="18">
        <v>0.99109999999999998</v>
      </c>
      <c r="G51" s="18">
        <v>0.65079999999999993</v>
      </c>
      <c r="H51" s="13">
        <v>1199</v>
      </c>
      <c r="I51" s="13">
        <v>1199</v>
      </c>
      <c r="J51" s="7">
        <v>3949559.61</v>
      </c>
      <c r="K51" s="7">
        <v>3294.04</v>
      </c>
      <c r="L51" s="13">
        <v>1199</v>
      </c>
      <c r="M51" s="18">
        <v>1</v>
      </c>
      <c r="N51" s="13">
        <v>1199</v>
      </c>
      <c r="O51" s="18">
        <v>1</v>
      </c>
      <c r="P51" s="13">
        <v>0</v>
      </c>
      <c r="Q51" s="18">
        <v>0</v>
      </c>
      <c r="R51" s="7">
        <v>3294.04</v>
      </c>
      <c r="S51" s="7">
        <v>3294.0447122602168</v>
      </c>
      <c r="T51" s="7">
        <v>303.57815007126828</v>
      </c>
      <c r="U51" s="7">
        <v>303.57815007126828</v>
      </c>
    </row>
    <row r="52" spans="1:21" x14ac:dyDescent="0.35">
      <c r="A52" s="9" t="s">
        <v>143</v>
      </c>
      <c r="B52" s="9" t="s">
        <v>145</v>
      </c>
      <c r="C52" s="9" t="s">
        <v>152</v>
      </c>
      <c r="D52" s="9" t="s">
        <v>142</v>
      </c>
      <c r="E52" s="10">
        <v>9.15</v>
      </c>
      <c r="F52" s="16">
        <v>0.99080000000000001</v>
      </c>
      <c r="G52" s="16">
        <v>0.65260000000000007</v>
      </c>
      <c r="H52" s="12">
        <v>1147</v>
      </c>
      <c r="I52" s="12">
        <v>1147</v>
      </c>
      <c r="J52" s="10">
        <v>3943073.93</v>
      </c>
      <c r="K52" s="10">
        <v>3437.73</v>
      </c>
      <c r="L52" s="12">
        <v>1147</v>
      </c>
      <c r="M52" s="16">
        <v>1</v>
      </c>
      <c r="N52" s="12">
        <v>1147</v>
      </c>
      <c r="O52" s="16">
        <v>1</v>
      </c>
      <c r="P52" s="12">
        <v>0</v>
      </c>
      <c r="Q52" s="16">
        <v>0</v>
      </c>
      <c r="R52" s="10">
        <v>3437.73</v>
      </c>
      <c r="S52" s="10">
        <v>3437.7279250217962</v>
      </c>
      <c r="T52" s="10">
        <v>290.8898033266143</v>
      </c>
      <c r="U52" s="10">
        <v>290.8898033266143</v>
      </c>
    </row>
    <row r="53" spans="1:21" x14ac:dyDescent="0.35">
      <c r="A53" s="6" t="s">
        <v>146</v>
      </c>
      <c r="B53" s="6" t="s">
        <v>151</v>
      </c>
      <c r="C53" s="6" t="s">
        <v>152</v>
      </c>
      <c r="D53" s="6" t="s">
        <v>142</v>
      </c>
      <c r="E53" s="7">
        <v>9.19</v>
      </c>
      <c r="F53" s="18">
        <v>0.98950000000000005</v>
      </c>
      <c r="G53" s="18">
        <v>0.64529999999999998</v>
      </c>
      <c r="H53" s="13">
        <v>1159</v>
      </c>
      <c r="I53" s="13">
        <v>1159</v>
      </c>
      <c r="J53" s="7">
        <v>3921983.85</v>
      </c>
      <c r="K53" s="7">
        <v>3383.94</v>
      </c>
      <c r="L53" s="13">
        <v>1159</v>
      </c>
      <c r="M53" s="18">
        <v>1</v>
      </c>
      <c r="N53" s="13">
        <v>1159</v>
      </c>
      <c r="O53" s="18">
        <v>1</v>
      </c>
      <c r="P53" s="13">
        <v>0</v>
      </c>
      <c r="Q53" s="18">
        <v>0</v>
      </c>
      <c r="R53" s="7">
        <v>3383.94</v>
      </c>
      <c r="S53" s="7">
        <v>3383.9377480586709</v>
      </c>
      <c r="T53" s="7">
        <v>295.51371049118421</v>
      </c>
      <c r="U53" s="7">
        <v>295.51371049118421</v>
      </c>
    </row>
    <row r="54" spans="1:21" x14ac:dyDescent="0.35">
      <c r="A54" s="9" t="s">
        <v>149</v>
      </c>
      <c r="B54" s="9" t="s">
        <v>144</v>
      </c>
      <c r="C54" s="9" t="s">
        <v>152</v>
      </c>
      <c r="D54" s="9" t="s">
        <v>142</v>
      </c>
      <c r="E54" s="10">
        <v>9.19</v>
      </c>
      <c r="F54" s="16">
        <v>0.99230000000000007</v>
      </c>
      <c r="G54" s="16">
        <v>0.65239999999999998</v>
      </c>
      <c r="H54" s="12">
        <v>1153</v>
      </c>
      <c r="I54" s="12">
        <v>1153</v>
      </c>
      <c r="J54" s="10">
        <v>3886448.75</v>
      </c>
      <c r="K54" s="10">
        <v>3370.73</v>
      </c>
      <c r="L54" s="12">
        <v>1153</v>
      </c>
      <c r="M54" s="16">
        <v>1</v>
      </c>
      <c r="N54" s="12">
        <v>1153</v>
      </c>
      <c r="O54" s="16">
        <v>1</v>
      </c>
      <c r="P54" s="12">
        <v>0</v>
      </c>
      <c r="Q54" s="16">
        <v>0</v>
      </c>
      <c r="R54" s="10">
        <v>3370.73</v>
      </c>
      <c r="S54" s="10">
        <v>3370.7274501300949</v>
      </c>
      <c r="T54" s="10">
        <v>296.67186528575729</v>
      </c>
      <c r="U54" s="10">
        <v>296.67186528575729</v>
      </c>
    </row>
    <row r="55" spans="1:21" x14ac:dyDescent="0.35">
      <c r="A55" s="6" t="s">
        <v>143</v>
      </c>
      <c r="B55" s="6" t="s">
        <v>151</v>
      </c>
      <c r="C55" s="6" t="s">
        <v>152</v>
      </c>
      <c r="D55" s="6" t="s">
        <v>142</v>
      </c>
      <c r="E55" s="7">
        <v>9.17</v>
      </c>
      <c r="F55" s="18">
        <v>0.98909999999999998</v>
      </c>
      <c r="G55" s="18">
        <v>0.64939999999999998</v>
      </c>
      <c r="H55" s="13">
        <v>1152</v>
      </c>
      <c r="I55" s="13">
        <v>1152</v>
      </c>
      <c r="J55" s="7">
        <v>3858879.33</v>
      </c>
      <c r="K55" s="7">
        <v>3349.72</v>
      </c>
      <c r="L55" s="13">
        <v>1152</v>
      </c>
      <c r="M55" s="18">
        <v>1</v>
      </c>
      <c r="N55" s="13">
        <v>1152</v>
      </c>
      <c r="O55" s="18">
        <v>1</v>
      </c>
      <c r="P55" s="13">
        <v>0</v>
      </c>
      <c r="Q55" s="18">
        <v>0</v>
      </c>
      <c r="R55" s="7">
        <v>3349.72</v>
      </c>
      <c r="S55" s="7">
        <v>3349.721640625</v>
      </c>
      <c r="T55" s="7">
        <v>298.53226843452501</v>
      </c>
      <c r="U55" s="7">
        <v>298.53226843452501</v>
      </c>
    </row>
    <row r="56" spans="1:21" x14ac:dyDescent="0.35">
      <c r="A56" s="9" t="s">
        <v>150</v>
      </c>
      <c r="B56" s="9" t="s">
        <v>140</v>
      </c>
      <c r="C56" s="9" t="s">
        <v>152</v>
      </c>
      <c r="D56" s="9" t="s">
        <v>142</v>
      </c>
      <c r="E56" s="10">
        <v>9.11</v>
      </c>
      <c r="F56" s="16">
        <v>0.9909</v>
      </c>
      <c r="G56" s="16">
        <v>0.64769999999999994</v>
      </c>
      <c r="H56" s="12">
        <v>1125</v>
      </c>
      <c r="I56" s="12">
        <v>1125</v>
      </c>
      <c r="J56" s="10">
        <v>3830693.03</v>
      </c>
      <c r="K56" s="10">
        <v>3405.06</v>
      </c>
      <c r="L56" s="12">
        <v>1125</v>
      </c>
      <c r="M56" s="16">
        <v>1</v>
      </c>
      <c r="N56" s="12">
        <v>1125</v>
      </c>
      <c r="O56" s="16">
        <v>1</v>
      </c>
      <c r="P56" s="12">
        <v>0</v>
      </c>
      <c r="Q56" s="16">
        <v>0</v>
      </c>
      <c r="R56" s="10">
        <v>3405.06</v>
      </c>
      <c r="S56" s="10">
        <v>3405.0604711111109</v>
      </c>
      <c r="T56" s="10">
        <v>293.68054062008719</v>
      </c>
      <c r="U56" s="10">
        <v>293.68054062008719</v>
      </c>
    </row>
    <row r="57" spans="1:21" x14ac:dyDescent="0.35">
      <c r="A57" s="6" t="s">
        <v>143</v>
      </c>
      <c r="B57" s="6" t="s">
        <v>140</v>
      </c>
      <c r="C57" s="6" t="s">
        <v>152</v>
      </c>
      <c r="D57" s="6" t="s">
        <v>142</v>
      </c>
      <c r="E57" s="7">
        <v>9.2100000000000009</v>
      </c>
      <c r="F57" s="18">
        <v>0.99199999999999999</v>
      </c>
      <c r="G57" s="18">
        <v>0.65469999999999995</v>
      </c>
      <c r="H57" s="13">
        <v>1126</v>
      </c>
      <c r="I57" s="13">
        <v>1126</v>
      </c>
      <c r="J57" s="7">
        <v>3800413.96</v>
      </c>
      <c r="K57" s="7">
        <v>3375.15</v>
      </c>
      <c r="L57" s="13">
        <v>1126</v>
      </c>
      <c r="M57" s="18">
        <v>1</v>
      </c>
      <c r="N57" s="13">
        <v>1126</v>
      </c>
      <c r="O57" s="18">
        <v>1</v>
      </c>
      <c r="P57" s="13">
        <v>0</v>
      </c>
      <c r="Q57" s="18">
        <v>0</v>
      </c>
      <c r="R57" s="7">
        <v>3375.15</v>
      </c>
      <c r="S57" s="7">
        <v>3375.1456127886322</v>
      </c>
      <c r="T57" s="7">
        <v>296.28351328337931</v>
      </c>
      <c r="U57" s="7">
        <v>296.28351328337931</v>
      </c>
    </row>
    <row r="58" spans="1:21" x14ac:dyDescent="0.35">
      <c r="A58" s="9" t="s">
        <v>150</v>
      </c>
      <c r="B58" s="9" t="s">
        <v>148</v>
      </c>
      <c r="C58" s="9" t="s">
        <v>152</v>
      </c>
      <c r="D58" s="9" t="s">
        <v>142</v>
      </c>
      <c r="E58" s="10">
        <v>9.27</v>
      </c>
      <c r="F58" s="16">
        <v>0.99199999999999999</v>
      </c>
      <c r="G58" s="16">
        <v>0.64639999999999997</v>
      </c>
      <c r="H58" s="12">
        <v>1156</v>
      </c>
      <c r="I58" s="12">
        <v>1156</v>
      </c>
      <c r="J58" s="10">
        <v>3749422.84</v>
      </c>
      <c r="K58" s="10">
        <v>3243.45</v>
      </c>
      <c r="L58" s="12">
        <v>1156</v>
      </c>
      <c r="M58" s="16">
        <v>1</v>
      </c>
      <c r="N58" s="12">
        <v>1156</v>
      </c>
      <c r="O58" s="16">
        <v>1</v>
      </c>
      <c r="P58" s="12">
        <v>0</v>
      </c>
      <c r="Q58" s="16">
        <v>0</v>
      </c>
      <c r="R58" s="10">
        <v>3243.45</v>
      </c>
      <c r="S58" s="10">
        <v>3243.4453633217991</v>
      </c>
      <c r="T58" s="10">
        <v>308.31411908719258</v>
      </c>
      <c r="U58" s="10">
        <v>308.31411908719258</v>
      </c>
    </row>
    <row r="59" spans="1:21" x14ac:dyDescent="0.35">
      <c r="A59" s="6" t="s">
        <v>146</v>
      </c>
      <c r="B59" s="6" t="s">
        <v>147</v>
      </c>
      <c r="C59" s="6" t="s">
        <v>152</v>
      </c>
      <c r="D59" s="6" t="s">
        <v>142</v>
      </c>
      <c r="E59" s="7">
        <v>9.06</v>
      </c>
      <c r="F59" s="18">
        <v>0.99</v>
      </c>
      <c r="G59" s="18">
        <v>0.65229999999999999</v>
      </c>
      <c r="H59" s="13">
        <v>1203</v>
      </c>
      <c r="I59" s="13">
        <v>1203</v>
      </c>
      <c r="J59" s="7">
        <v>3740926.53</v>
      </c>
      <c r="K59" s="7">
        <v>3109.66</v>
      </c>
      <c r="L59" s="13">
        <v>1203</v>
      </c>
      <c r="M59" s="18">
        <v>1</v>
      </c>
      <c r="N59" s="13">
        <v>1203</v>
      </c>
      <c r="O59" s="18">
        <v>1</v>
      </c>
      <c r="P59" s="13">
        <v>0</v>
      </c>
      <c r="Q59" s="18">
        <v>0</v>
      </c>
      <c r="R59" s="7">
        <v>3109.66</v>
      </c>
      <c r="S59" s="7">
        <v>3109.6646134663338</v>
      </c>
      <c r="T59" s="7">
        <v>321.57808776854012</v>
      </c>
      <c r="U59" s="7">
        <v>321.57808776854012</v>
      </c>
    </row>
    <row r="60" spans="1:21" x14ac:dyDescent="0.35">
      <c r="A60" s="9" t="s">
        <v>146</v>
      </c>
      <c r="B60" s="9" t="s">
        <v>140</v>
      </c>
      <c r="C60" s="9" t="s">
        <v>152</v>
      </c>
      <c r="D60" s="9" t="s">
        <v>142</v>
      </c>
      <c r="E60" s="10">
        <v>9.11</v>
      </c>
      <c r="F60" s="16">
        <v>0.99159999999999993</v>
      </c>
      <c r="G60" s="16">
        <v>0.65189999999999992</v>
      </c>
      <c r="H60" s="12">
        <v>1154</v>
      </c>
      <c r="I60" s="12">
        <v>1154</v>
      </c>
      <c r="J60" s="10">
        <v>3627417.32</v>
      </c>
      <c r="K60" s="10">
        <v>3143.34</v>
      </c>
      <c r="L60" s="12">
        <v>1154</v>
      </c>
      <c r="M60" s="16">
        <v>1</v>
      </c>
      <c r="N60" s="12">
        <v>1154</v>
      </c>
      <c r="O60" s="16">
        <v>1</v>
      </c>
      <c r="P60" s="12">
        <v>0</v>
      </c>
      <c r="Q60" s="16">
        <v>0</v>
      </c>
      <c r="R60" s="10">
        <v>3143.34</v>
      </c>
      <c r="S60" s="10">
        <v>3143.3425649913338</v>
      </c>
      <c r="T60" s="10">
        <v>318.13268179466041</v>
      </c>
      <c r="U60" s="10">
        <v>318.13268179466041</v>
      </c>
    </row>
    <row r="61" spans="1:21" x14ac:dyDescent="0.35">
      <c r="A61" s="6" t="s">
        <v>149</v>
      </c>
      <c r="B61" s="6" t="s">
        <v>151</v>
      </c>
      <c r="C61" s="6" t="s">
        <v>152</v>
      </c>
      <c r="D61" s="6" t="s">
        <v>142</v>
      </c>
      <c r="E61" s="7">
        <v>9.2899999999999991</v>
      </c>
      <c r="F61" s="18">
        <v>0.99269999999999992</v>
      </c>
      <c r="G61" s="18">
        <v>0.64900000000000002</v>
      </c>
      <c r="H61" s="13">
        <v>1165</v>
      </c>
      <c r="I61" s="13">
        <v>1165</v>
      </c>
      <c r="J61" s="7">
        <v>3591286.29</v>
      </c>
      <c r="K61" s="7">
        <v>3082.65</v>
      </c>
      <c r="L61" s="13">
        <v>1165</v>
      </c>
      <c r="M61" s="18">
        <v>1</v>
      </c>
      <c r="N61" s="13">
        <v>1165</v>
      </c>
      <c r="O61" s="18">
        <v>1</v>
      </c>
      <c r="P61" s="13">
        <v>0</v>
      </c>
      <c r="Q61" s="18">
        <v>0</v>
      </c>
      <c r="R61" s="7">
        <v>3082.65</v>
      </c>
      <c r="S61" s="7">
        <v>3082.6491759656651</v>
      </c>
      <c r="T61" s="7">
        <v>324.39630425565429</v>
      </c>
      <c r="U61" s="7">
        <v>324.39630425565429</v>
      </c>
    </row>
    <row r="62" spans="1:21" x14ac:dyDescent="0.35">
      <c r="A62" s="9" t="s">
        <v>143</v>
      </c>
      <c r="B62" s="9" t="s">
        <v>145</v>
      </c>
      <c r="C62" s="9" t="s">
        <v>141</v>
      </c>
      <c r="D62" s="9" t="s">
        <v>153</v>
      </c>
      <c r="E62" s="10">
        <v>4.7</v>
      </c>
      <c r="F62" s="16">
        <v>0.52749999999999997</v>
      </c>
      <c r="G62" s="16">
        <v>0.66500000000000004</v>
      </c>
      <c r="H62" s="12">
        <v>899</v>
      </c>
      <c r="I62" s="12">
        <v>899</v>
      </c>
      <c r="J62" s="10">
        <v>3529391.17</v>
      </c>
      <c r="K62" s="10">
        <v>3925.91</v>
      </c>
      <c r="L62" s="12">
        <v>0</v>
      </c>
      <c r="M62" s="16">
        <v>0</v>
      </c>
      <c r="N62" s="12">
        <v>899</v>
      </c>
      <c r="O62" s="16">
        <v>1</v>
      </c>
      <c r="P62" s="12">
        <v>0</v>
      </c>
      <c r="Q62" s="16">
        <v>0</v>
      </c>
      <c r="R62" s="10"/>
      <c r="S62" s="10">
        <v>3925.9078642936602</v>
      </c>
      <c r="T62" s="10">
        <v>0</v>
      </c>
      <c r="U62" s="10">
        <v>254.7181529895424</v>
      </c>
    </row>
    <row r="63" spans="1:21" x14ac:dyDescent="0.35">
      <c r="A63" s="6" t="s">
        <v>149</v>
      </c>
      <c r="B63" s="6" t="s">
        <v>145</v>
      </c>
      <c r="C63" s="6" t="s">
        <v>152</v>
      </c>
      <c r="D63" s="6" t="s">
        <v>142</v>
      </c>
      <c r="E63" s="7">
        <v>9.2200000000000006</v>
      </c>
      <c r="F63" s="18">
        <v>0.99180000000000001</v>
      </c>
      <c r="G63" s="18">
        <v>0.64680000000000004</v>
      </c>
      <c r="H63" s="13">
        <v>1144</v>
      </c>
      <c r="I63" s="13">
        <v>1144</v>
      </c>
      <c r="J63" s="7">
        <v>3515204.38</v>
      </c>
      <c r="K63" s="7">
        <v>3072.73</v>
      </c>
      <c r="L63" s="13">
        <v>1144</v>
      </c>
      <c r="M63" s="18">
        <v>1</v>
      </c>
      <c r="N63" s="13">
        <v>1144</v>
      </c>
      <c r="O63" s="18">
        <v>1</v>
      </c>
      <c r="P63" s="13">
        <v>0</v>
      </c>
      <c r="Q63" s="18">
        <v>0</v>
      </c>
      <c r="R63" s="7">
        <v>3072.73</v>
      </c>
      <c r="S63" s="7">
        <v>3072.7311013986009</v>
      </c>
      <c r="T63" s="7">
        <v>325.44338147416619</v>
      </c>
      <c r="U63" s="7">
        <v>325.44338147416619</v>
      </c>
    </row>
    <row r="64" spans="1:21" x14ac:dyDescent="0.35">
      <c r="A64" s="9" t="s">
        <v>139</v>
      </c>
      <c r="B64" s="9" t="s">
        <v>147</v>
      </c>
      <c r="C64" s="9" t="s">
        <v>152</v>
      </c>
      <c r="D64" s="9" t="s">
        <v>142</v>
      </c>
      <c r="E64" s="10">
        <v>9.1300000000000008</v>
      </c>
      <c r="F64" s="16">
        <v>0.99140000000000006</v>
      </c>
      <c r="G64" s="16">
        <v>0.64790000000000003</v>
      </c>
      <c r="H64" s="12">
        <v>1121</v>
      </c>
      <c r="I64" s="12">
        <v>1121</v>
      </c>
      <c r="J64" s="10">
        <v>3478205.47</v>
      </c>
      <c r="K64" s="10">
        <v>3102.77</v>
      </c>
      <c r="L64" s="12">
        <v>1121</v>
      </c>
      <c r="M64" s="16">
        <v>1</v>
      </c>
      <c r="N64" s="12">
        <v>1121</v>
      </c>
      <c r="O64" s="16">
        <v>1</v>
      </c>
      <c r="P64" s="12">
        <v>0</v>
      </c>
      <c r="Q64" s="16">
        <v>0</v>
      </c>
      <c r="R64" s="10">
        <v>3102.77</v>
      </c>
      <c r="S64" s="10">
        <v>3102.770267618198</v>
      </c>
      <c r="T64" s="10">
        <v>322.2926332756299</v>
      </c>
      <c r="U64" s="10">
        <v>322.2926332756299</v>
      </c>
    </row>
    <row r="65" spans="1:21" x14ac:dyDescent="0.35">
      <c r="A65" s="6" t="s">
        <v>143</v>
      </c>
      <c r="B65" s="6" t="s">
        <v>147</v>
      </c>
      <c r="C65" s="6" t="s">
        <v>152</v>
      </c>
      <c r="D65" s="6" t="s">
        <v>142</v>
      </c>
      <c r="E65" s="7">
        <v>9.15</v>
      </c>
      <c r="F65" s="18">
        <v>0.99109999999999998</v>
      </c>
      <c r="G65" s="18">
        <v>0.65170000000000006</v>
      </c>
      <c r="H65" s="13">
        <v>1070</v>
      </c>
      <c r="I65" s="13">
        <v>1070</v>
      </c>
      <c r="J65" s="7">
        <v>3412494.79</v>
      </c>
      <c r="K65" s="7">
        <v>3189.25</v>
      </c>
      <c r="L65" s="13">
        <v>1070</v>
      </c>
      <c r="M65" s="18">
        <v>1</v>
      </c>
      <c r="N65" s="13">
        <v>1070</v>
      </c>
      <c r="O65" s="18">
        <v>1</v>
      </c>
      <c r="P65" s="13">
        <v>0</v>
      </c>
      <c r="Q65" s="18">
        <v>0</v>
      </c>
      <c r="R65" s="7">
        <v>3189.25</v>
      </c>
      <c r="S65" s="7">
        <v>3189.2474672897201</v>
      </c>
      <c r="T65" s="7">
        <v>313.55359226790199</v>
      </c>
      <c r="U65" s="7">
        <v>313.55359226790199</v>
      </c>
    </row>
    <row r="66" spans="1:21" x14ac:dyDescent="0.35">
      <c r="A66" s="9" t="s">
        <v>149</v>
      </c>
      <c r="B66" s="9" t="s">
        <v>144</v>
      </c>
      <c r="C66" s="9" t="s">
        <v>141</v>
      </c>
      <c r="D66" s="9" t="s">
        <v>153</v>
      </c>
      <c r="E66" s="10">
        <v>4.72</v>
      </c>
      <c r="F66" s="16">
        <v>0.54159999999999997</v>
      </c>
      <c r="G66" s="16">
        <v>0.65540000000000009</v>
      </c>
      <c r="H66" s="12">
        <v>864</v>
      </c>
      <c r="I66" s="12">
        <v>864</v>
      </c>
      <c r="J66" s="10">
        <v>3400997.49</v>
      </c>
      <c r="K66" s="10">
        <v>3936.34</v>
      </c>
      <c r="L66" s="12">
        <v>0</v>
      </c>
      <c r="M66" s="16">
        <v>0</v>
      </c>
      <c r="N66" s="12">
        <v>864</v>
      </c>
      <c r="O66" s="16">
        <v>1</v>
      </c>
      <c r="P66" s="12">
        <v>0</v>
      </c>
      <c r="Q66" s="16">
        <v>0</v>
      </c>
      <c r="R66" s="10"/>
      <c r="S66" s="10">
        <v>3936.3396874999999</v>
      </c>
      <c r="T66" s="10">
        <v>0</v>
      </c>
      <c r="U66" s="10">
        <v>254.04311603887709</v>
      </c>
    </row>
    <row r="67" spans="1:21" x14ac:dyDescent="0.35">
      <c r="A67" s="6" t="s">
        <v>149</v>
      </c>
      <c r="B67" s="6" t="s">
        <v>145</v>
      </c>
      <c r="C67" s="6" t="s">
        <v>141</v>
      </c>
      <c r="D67" s="6" t="s">
        <v>153</v>
      </c>
      <c r="E67" s="7">
        <v>4.75</v>
      </c>
      <c r="F67" s="18">
        <v>0.5242</v>
      </c>
      <c r="G67" s="18">
        <v>0.64430000000000009</v>
      </c>
      <c r="H67" s="13">
        <v>878</v>
      </c>
      <c r="I67" s="13">
        <v>878</v>
      </c>
      <c r="J67" s="7">
        <v>3310997.52</v>
      </c>
      <c r="K67" s="7">
        <v>3771.07</v>
      </c>
      <c r="L67" s="13">
        <v>0</v>
      </c>
      <c r="M67" s="18">
        <v>0</v>
      </c>
      <c r="N67" s="13">
        <v>878</v>
      </c>
      <c r="O67" s="18">
        <v>1</v>
      </c>
      <c r="P67" s="13">
        <v>0</v>
      </c>
      <c r="Q67" s="18">
        <v>0</v>
      </c>
      <c r="R67" s="7"/>
      <c r="S67" s="7">
        <v>3771.0677904328022</v>
      </c>
      <c r="T67" s="7">
        <v>0</v>
      </c>
      <c r="U67" s="7">
        <v>265.17688240370529</v>
      </c>
    </row>
    <row r="68" spans="1:21" x14ac:dyDescent="0.35">
      <c r="A68" s="9" t="s">
        <v>143</v>
      </c>
      <c r="B68" s="9" t="s">
        <v>140</v>
      </c>
      <c r="C68" s="9" t="s">
        <v>141</v>
      </c>
      <c r="D68" s="9" t="s">
        <v>153</v>
      </c>
      <c r="E68" s="10">
        <v>4.74</v>
      </c>
      <c r="F68" s="16">
        <v>0.54039999999999999</v>
      </c>
      <c r="G68" s="16">
        <v>0.64650000000000007</v>
      </c>
      <c r="H68" s="12">
        <v>881</v>
      </c>
      <c r="I68" s="12">
        <v>881</v>
      </c>
      <c r="J68" s="10">
        <v>3296662.68</v>
      </c>
      <c r="K68" s="10">
        <v>3741.96</v>
      </c>
      <c r="L68" s="12">
        <v>0</v>
      </c>
      <c r="M68" s="16">
        <v>0</v>
      </c>
      <c r="N68" s="12">
        <v>881</v>
      </c>
      <c r="O68" s="16">
        <v>1</v>
      </c>
      <c r="P68" s="12">
        <v>0</v>
      </c>
      <c r="Q68" s="16">
        <v>0</v>
      </c>
      <c r="R68" s="10"/>
      <c r="S68" s="10">
        <v>3741.955368898979</v>
      </c>
      <c r="T68" s="10">
        <v>0</v>
      </c>
      <c r="U68" s="10">
        <v>267.23995916985962</v>
      </c>
    </row>
    <row r="69" spans="1:21" x14ac:dyDescent="0.35">
      <c r="A69" s="6" t="s">
        <v>150</v>
      </c>
      <c r="B69" s="6" t="s">
        <v>151</v>
      </c>
      <c r="C69" s="6" t="s">
        <v>141</v>
      </c>
      <c r="D69" s="6" t="s">
        <v>153</v>
      </c>
      <c r="E69" s="7">
        <v>4.7699999999999996</v>
      </c>
      <c r="F69" s="18">
        <v>0.54600000000000004</v>
      </c>
      <c r="G69" s="18">
        <v>0.65300000000000002</v>
      </c>
      <c r="H69" s="13">
        <v>835</v>
      </c>
      <c r="I69" s="13">
        <v>835</v>
      </c>
      <c r="J69" s="7">
        <v>3273691.6</v>
      </c>
      <c r="K69" s="7">
        <v>3920.59</v>
      </c>
      <c r="L69" s="13">
        <v>0</v>
      </c>
      <c r="M69" s="18">
        <v>0</v>
      </c>
      <c r="N69" s="13">
        <v>835</v>
      </c>
      <c r="O69" s="18">
        <v>1</v>
      </c>
      <c r="P69" s="13">
        <v>0</v>
      </c>
      <c r="Q69" s="18">
        <v>0</v>
      </c>
      <c r="R69" s="7"/>
      <c r="S69" s="7">
        <v>3920.5887425149699</v>
      </c>
      <c r="T69" s="7">
        <v>0</v>
      </c>
      <c r="U69" s="7">
        <v>255.06373294295651</v>
      </c>
    </row>
    <row r="70" spans="1:21" x14ac:dyDescent="0.35">
      <c r="A70" s="9" t="s">
        <v>139</v>
      </c>
      <c r="B70" s="9" t="s">
        <v>144</v>
      </c>
      <c r="C70" s="9" t="s">
        <v>154</v>
      </c>
      <c r="D70" s="9" t="s">
        <v>153</v>
      </c>
      <c r="E70" s="10">
        <v>4.66</v>
      </c>
      <c r="F70" s="16">
        <v>0.52369999999999994</v>
      </c>
      <c r="G70" s="16">
        <v>0.65280000000000005</v>
      </c>
      <c r="H70" s="12">
        <v>731</v>
      </c>
      <c r="I70" s="12">
        <v>731</v>
      </c>
      <c r="J70" s="10">
        <v>3249290.18</v>
      </c>
      <c r="K70" s="10">
        <v>4444.99</v>
      </c>
      <c r="L70" s="12">
        <v>0</v>
      </c>
      <c r="M70" s="16">
        <v>0</v>
      </c>
      <c r="N70" s="12">
        <v>0</v>
      </c>
      <c r="O70" s="16">
        <v>0</v>
      </c>
      <c r="P70" s="12">
        <v>731</v>
      </c>
      <c r="Q70" s="16">
        <v>1</v>
      </c>
      <c r="R70" s="10"/>
      <c r="S70" s="10"/>
      <c r="T70" s="10">
        <v>0</v>
      </c>
      <c r="U70" s="10">
        <v>0</v>
      </c>
    </row>
    <row r="71" spans="1:21" x14ac:dyDescent="0.35">
      <c r="A71" s="6" t="s">
        <v>139</v>
      </c>
      <c r="B71" s="6" t="s">
        <v>144</v>
      </c>
      <c r="C71" s="6" t="s">
        <v>152</v>
      </c>
      <c r="D71" s="6" t="s">
        <v>142</v>
      </c>
      <c r="E71" s="7">
        <v>9.0299999999999994</v>
      </c>
      <c r="F71" s="18">
        <v>0.99159999999999993</v>
      </c>
      <c r="G71" s="18">
        <v>0.65010000000000001</v>
      </c>
      <c r="H71" s="13">
        <v>1130</v>
      </c>
      <c r="I71" s="13">
        <v>1130</v>
      </c>
      <c r="J71" s="7">
        <v>3210009.75</v>
      </c>
      <c r="K71" s="7">
        <v>2840.72</v>
      </c>
      <c r="L71" s="13">
        <v>1130</v>
      </c>
      <c r="M71" s="18">
        <v>1</v>
      </c>
      <c r="N71" s="13">
        <v>1130</v>
      </c>
      <c r="O71" s="18">
        <v>1</v>
      </c>
      <c r="P71" s="13">
        <v>0</v>
      </c>
      <c r="Q71" s="18">
        <v>0</v>
      </c>
      <c r="R71" s="7">
        <v>2840.72</v>
      </c>
      <c r="S71" s="7">
        <v>2840.7165929203538</v>
      </c>
      <c r="T71" s="7">
        <v>352.02385288705119</v>
      </c>
      <c r="U71" s="7">
        <v>352.02385288705119</v>
      </c>
    </row>
    <row r="72" spans="1:21" x14ac:dyDescent="0.35">
      <c r="A72" s="9" t="s">
        <v>149</v>
      </c>
      <c r="B72" s="9" t="s">
        <v>147</v>
      </c>
      <c r="C72" s="9" t="s">
        <v>141</v>
      </c>
      <c r="D72" s="9" t="s">
        <v>153</v>
      </c>
      <c r="E72" s="10">
        <v>4.75</v>
      </c>
      <c r="F72" s="16">
        <v>0.53549999999999998</v>
      </c>
      <c r="G72" s="16">
        <v>0.64819999999999989</v>
      </c>
      <c r="H72" s="12">
        <v>841</v>
      </c>
      <c r="I72" s="12">
        <v>841</v>
      </c>
      <c r="J72" s="10">
        <v>3118286.85</v>
      </c>
      <c r="K72" s="10">
        <v>3707.83</v>
      </c>
      <c r="L72" s="12">
        <v>0</v>
      </c>
      <c r="M72" s="16">
        <v>0</v>
      </c>
      <c r="N72" s="12">
        <v>841</v>
      </c>
      <c r="O72" s="16">
        <v>1</v>
      </c>
      <c r="P72" s="12">
        <v>0</v>
      </c>
      <c r="Q72" s="16">
        <v>0</v>
      </c>
      <c r="R72" s="10"/>
      <c r="S72" s="10">
        <v>3707.8321640903691</v>
      </c>
      <c r="T72" s="10">
        <v>0</v>
      </c>
      <c r="U72" s="10">
        <v>269.69937034497002</v>
      </c>
    </row>
    <row r="73" spans="1:21" x14ac:dyDescent="0.35">
      <c r="A73" s="6" t="s">
        <v>146</v>
      </c>
      <c r="B73" s="6" t="s">
        <v>151</v>
      </c>
      <c r="C73" s="6" t="s">
        <v>141</v>
      </c>
      <c r="D73" s="6" t="s">
        <v>153</v>
      </c>
      <c r="E73" s="7">
        <v>4.75</v>
      </c>
      <c r="F73" s="18">
        <v>0.53560000000000008</v>
      </c>
      <c r="G73" s="18">
        <v>0.65349999999999997</v>
      </c>
      <c r="H73" s="13">
        <v>876</v>
      </c>
      <c r="I73" s="13">
        <v>876</v>
      </c>
      <c r="J73" s="7">
        <v>3096641.8</v>
      </c>
      <c r="K73" s="7">
        <v>3534.98</v>
      </c>
      <c r="L73" s="13">
        <v>0</v>
      </c>
      <c r="M73" s="18">
        <v>0</v>
      </c>
      <c r="N73" s="13">
        <v>876</v>
      </c>
      <c r="O73" s="18">
        <v>1</v>
      </c>
      <c r="P73" s="13">
        <v>0</v>
      </c>
      <c r="Q73" s="18">
        <v>0</v>
      </c>
      <c r="R73" s="7"/>
      <c r="S73" s="7">
        <v>3534.9792237442921</v>
      </c>
      <c r="T73" s="7">
        <v>0</v>
      </c>
      <c r="U73" s="7">
        <v>282.88709401261718</v>
      </c>
    </row>
    <row r="74" spans="1:21" x14ac:dyDescent="0.35">
      <c r="A74" s="9" t="s">
        <v>139</v>
      </c>
      <c r="B74" s="9" t="s">
        <v>144</v>
      </c>
      <c r="C74" s="9" t="s">
        <v>141</v>
      </c>
      <c r="D74" s="9" t="s">
        <v>153</v>
      </c>
      <c r="E74" s="10">
        <v>4.7699999999999996</v>
      </c>
      <c r="F74" s="16">
        <v>0.54010000000000002</v>
      </c>
      <c r="G74" s="16">
        <v>0.65139999999999998</v>
      </c>
      <c r="H74" s="12">
        <v>848</v>
      </c>
      <c r="I74" s="12">
        <v>848</v>
      </c>
      <c r="J74" s="10">
        <v>3070894.99</v>
      </c>
      <c r="K74" s="10">
        <v>3621.34</v>
      </c>
      <c r="L74" s="12">
        <v>0</v>
      </c>
      <c r="M74" s="16">
        <v>0</v>
      </c>
      <c r="N74" s="12">
        <v>848</v>
      </c>
      <c r="O74" s="16">
        <v>1</v>
      </c>
      <c r="P74" s="12">
        <v>0</v>
      </c>
      <c r="Q74" s="16">
        <v>0</v>
      </c>
      <c r="R74" s="10"/>
      <c r="S74" s="10">
        <v>3621.3384316037741</v>
      </c>
      <c r="T74" s="10">
        <v>0</v>
      </c>
      <c r="U74" s="10">
        <v>276.14099562551303</v>
      </c>
    </row>
    <row r="75" spans="1:21" x14ac:dyDescent="0.35">
      <c r="A75" s="6" t="s">
        <v>146</v>
      </c>
      <c r="B75" s="6" t="s">
        <v>145</v>
      </c>
      <c r="C75" s="6" t="s">
        <v>154</v>
      </c>
      <c r="D75" s="6" t="s">
        <v>153</v>
      </c>
      <c r="E75" s="7">
        <v>4.67</v>
      </c>
      <c r="F75" s="18">
        <v>0.53689999999999993</v>
      </c>
      <c r="G75" s="18">
        <v>0.6512</v>
      </c>
      <c r="H75" s="13">
        <v>691</v>
      </c>
      <c r="I75" s="13">
        <v>691</v>
      </c>
      <c r="J75" s="7">
        <v>3051056.71</v>
      </c>
      <c r="K75" s="7">
        <v>4415.42</v>
      </c>
      <c r="L75" s="13">
        <v>0</v>
      </c>
      <c r="M75" s="18">
        <v>0</v>
      </c>
      <c r="N75" s="13">
        <v>0</v>
      </c>
      <c r="O75" s="18">
        <v>0</v>
      </c>
      <c r="P75" s="13">
        <v>691</v>
      </c>
      <c r="Q75" s="18">
        <v>1</v>
      </c>
      <c r="R75" s="7"/>
      <c r="S75" s="7"/>
      <c r="T75" s="7">
        <v>0</v>
      </c>
      <c r="U75" s="7">
        <v>0</v>
      </c>
    </row>
    <row r="76" spans="1:21" x14ac:dyDescent="0.35">
      <c r="A76" s="9" t="s">
        <v>139</v>
      </c>
      <c r="B76" s="9" t="s">
        <v>148</v>
      </c>
      <c r="C76" s="9" t="s">
        <v>154</v>
      </c>
      <c r="D76" s="9" t="s">
        <v>142</v>
      </c>
      <c r="E76" s="10">
        <v>9.16</v>
      </c>
      <c r="F76" s="16">
        <v>0.99159999999999993</v>
      </c>
      <c r="G76" s="16">
        <v>0.65280000000000005</v>
      </c>
      <c r="H76" s="12">
        <v>643</v>
      </c>
      <c r="I76" s="12">
        <v>643</v>
      </c>
      <c r="J76" s="10">
        <v>3039262.33</v>
      </c>
      <c r="K76" s="10">
        <v>4726.6899999999996</v>
      </c>
      <c r="L76" s="12">
        <v>0</v>
      </c>
      <c r="M76" s="16">
        <v>0</v>
      </c>
      <c r="N76" s="12">
        <v>0</v>
      </c>
      <c r="O76" s="16">
        <v>0</v>
      </c>
      <c r="P76" s="12">
        <v>643</v>
      </c>
      <c r="Q76" s="16">
        <v>1</v>
      </c>
      <c r="R76" s="10"/>
      <c r="S76" s="10"/>
      <c r="T76" s="10">
        <v>0</v>
      </c>
      <c r="U76" s="10">
        <v>0</v>
      </c>
    </row>
    <row r="77" spans="1:21" x14ac:dyDescent="0.35">
      <c r="A77" s="6" t="s">
        <v>150</v>
      </c>
      <c r="B77" s="6" t="s">
        <v>144</v>
      </c>
      <c r="C77" s="6" t="s">
        <v>141</v>
      </c>
      <c r="D77" s="6" t="s">
        <v>153</v>
      </c>
      <c r="E77" s="7">
        <v>4.7</v>
      </c>
      <c r="F77" s="18">
        <v>0.5242</v>
      </c>
      <c r="G77" s="18">
        <v>0.64969999999999994</v>
      </c>
      <c r="H77" s="13">
        <v>837</v>
      </c>
      <c r="I77" s="13">
        <v>837</v>
      </c>
      <c r="J77" s="7">
        <v>2982554.9</v>
      </c>
      <c r="K77" s="7">
        <v>3563.39</v>
      </c>
      <c r="L77" s="13">
        <v>0</v>
      </c>
      <c r="M77" s="18">
        <v>0</v>
      </c>
      <c r="N77" s="13">
        <v>837</v>
      </c>
      <c r="O77" s="18">
        <v>1</v>
      </c>
      <c r="P77" s="13">
        <v>0</v>
      </c>
      <c r="Q77" s="18">
        <v>0</v>
      </c>
      <c r="R77" s="7"/>
      <c r="S77" s="7">
        <v>3563.386977299881</v>
      </c>
      <c r="T77" s="7">
        <v>0</v>
      </c>
      <c r="U77" s="7">
        <v>280.63188375845158</v>
      </c>
    </row>
    <row r="78" spans="1:21" x14ac:dyDescent="0.35">
      <c r="A78" s="9" t="s">
        <v>143</v>
      </c>
      <c r="B78" s="9" t="s">
        <v>151</v>
      </c>
      <c r="C78" s="9" t="s">
        <v>141</v>
      </c>
      <c r="D78" s="9" t="s">
        <v>153</v>
      </c>
      <c r="E78" s="10">
        <v>4.72</v>
      </c>
      <c r="F78" s="16">
        <v>0.52829999999999999</v>
      </c>
      <c r="G78" s="16">
        <v>0.65239999999999998</v>
      </c>
      <c r="H78" s="12">
        <v>828</v>
      </c>
      <c r="I78" s="12">
        <v>828</v>
      </c>
      <c r="J78" s="10">
        <v>2965744.17</v>
      </c>
      <c r="K78" s="10">
        <v>3581.82</v>
      </c>
      <c r="L78" s="12">
        <v>0</v>
      </c>
      <c r="M78" s="16">
        <v>0</v>
      </c>
      <c r="N78" s="12">
        <v>828</v>
      </c>
      <c r="O78" s="16">
        <v>1</v>
      </c>
      <c r="P78" s="12">
        <v>0</v>
      </c>
      <c r="Q78" s="16">
        <v>0</v>
      </c>
      <c r="R78" s="10"/>
      <c r="S78" s="10">
        <v>3581.8166304347819</v>
      </c>
      <c r="T78" s="10">
        <v>0</v>
      </c>
      <c r="U78" s="10">
        <v>279.1879381828137</v>
      </c>
    </row>
    <row r="79" spans="1:21" x14ac:dyDescent="0.35">
      <c r="A79" s="6" t="s">
        <v>139</v>
      </c>
      <c r="B79" s="6" t="s">
        <v>151</v>
      </c>
      <c r="C79" s="6" t="s">
        <v>155</v>
      </c>
      <c r="D79" s="6" t="s">
        <v>153</v>
      </c>
      <c r="E79" s="7">
        <v>4.6500000000000004</v>
      </c>
      <c r="F79" s="18">
        <v>0.51529999999999998</v>
      </c>
      <c r="G79" s="18">
        <v>0.65489999999999993</v>
      </c>
      <c r="H79" s="13">
        <v>484</v>
      </c>
      <c r="I79" s="13">
        <v>484</v>
      </c>
      <c r="J79" s="7">
        <v>2948850.45</v>
      </c>
      <c r="K79" s="7">
        <v>6092.67</v>
      </c>
      <c r="L79" s="13">
        <v>0</v>
      </c>
      <c r="M79" s="18">
        <v>0</v>
      </c>
      <c r="N79" s="13">
        <v>0</v>
      </c>
      <c r="O79" s="18">
        <v>0</v>
      </c>
      <c r="P79" s="13">
        <v>484</v>
      </c>
      <c r="Q79" s="18">
        <v>1</v>
      </c>
      <c r="R79" s="7"/>
      <c r="S79" s="7"/>
      <c r="T79" s="7">
        <v>0</v>
      </c>
      <c r="U79" s="7">
        <v>0</v>
      </c>
    </row>
    <row r="80" spans="1:21" x14ac:dyDescent="0.35">
      <c r="A80" s="9" t="s">
        <v>139</v>
      </c>
      <c r="B80" s="9" t="s">
        <v>151</v>
      </c>
      <c r="C80" s="9" t="s">
        <v>141</v>
      </c>
      <c r="D80" s="9" t="s">
        <v>153</v>
      </c>
      <c r="E80" s="10">
        <v>4.76</v>
      </c>
      <c r="F80" s="16">
        <v>0.53859999999999997</v>
      </c>
      <c r="G80" s="16">
        <v>0.65180000000000005</v>
      </c>
      <c r="H80" s="12">
        <v>841</v>
      </c>
      <c r="I80" s="12">
        <v>841</v>
      </c>
      <c r="J80" s="10">
        <v>2948103.19</v>
      </c>
      <c r="K80" s="10">
        <v>3505.47</v>
      </c>
      <c r="L80" s="12">
        <v>0</v>
      </c>
      <c r="M80" s="16">
        <v>0</v>
      </c>
      <c r="N80" s="12">
        <v>841</v>
      </c>
      <c r="O80" s="16">
        <v>1</v>
      </c>
      <c r="P80" s="12">
        <v>0</v>
      </c>
      <c r="Q80" s="16">
        <v>0</v>
      </c>
      <c r="R80" s="10"/>
      <c r="S80" s="10">
        <v>3505.473472057075</v>
      </c>
      <c r="T80" s="10">
        <v>0</v>
      </c>
      <c r="U80" s="10">
        <v>285.2681693275465</v>
      </c>
    </row>
    <row r="81" spans="1:21" x14ac:dyDescent="0.35">
      <c r="A81" s="6" t="s">
        <v>150</v>
      </c>
      <c r="B81" s="6" t="s">
        <v>140</v>
      </c>
      <c r="C81" s="6" t="s">
        <v>141</v>
      </c>
      <c r="D81" s="6" t="s">
        <v>153</v>
      </c>
      <c r="E81" s="7">
        <v>4.67</v>
      </c>
      <c r="F81" s="18">
        <v>0.52490000000000003</v>
      </c>
      <c r="G81" s="18">
        <v>0.65349999999999997</v>
      </c>
      <c r="H81" s="13">
        <v>889</v>
      </c>
      <c r="I81" s="13">
        <v>889</v>
      </c>
      <c r="J81" s="7">
        <v>2901192.18</v>
      </c>
      <c r="K81" s="7">
        <v>3263.43</v>
      </c>
      <c r="L81" s="13">
        <v>0</v>
      </c>
      <c r="M81" s="18">
        <v>0</v>
      </c>
      <c r="N81" s="13">
        <v>889</v>
      </c>
      <c r="O81" s="18">
        <v>1</v>
      </c>
      <c r="P81" s="13">
        <v>0</v>
      </c>
      <c r="Q81" s="18">
        <v>0</v>
      </c>
      <c r="R81" s="7"/>
      <c r="S81" s="7">
        <v>3263.4332733408328</v>
      </c>
      <c r="T81" s="7">
        <v>0</v>
      </c>
      <c r="U81" s="7">
        <v>306.42575356728008</v>
      </c>
    </row>
    <row r="82" spans="1:21" x14ac:dyDescent="0.35">
      <c r="A82" s="9" t="s">
        <v>149</v>
      </c>
      <c r="B82" s="9" t="s">
        <v>140</v>
      </c>
      <c r="C82" s="9" t="s">
        <v>141</v>
      </c>
      <c r="D82" s="9" t="s">
        <v>153</v>
      </c>
      <c r="E82" s="10">
        <v>4.75</v>
      </c>
      <c r="F82" s="16">
        <v>0.5353</v>
      </c>
      <c r="G82" s="16">
        <v>0.64749999999999996</v>
      </c>
      <c r="H82" s="12">
        <v>835</v>
      </c>
      <c r="I82" s="12">
        <v>835</v>
      </c>
      <c r="J82" s="10">
        <v>2866491.08</v>
      </c>
      <c r="K82" s="10">
        <v>3432.92</v>
      </c>
      <c r="L82" s="12">
        <v>0</v>
      </c>
      <c r="M82" s="16">
        <v>0</v>
      </c>
      <c r="N82" s="12">
        <v>835</v>
      </c>
      <c r="O82" s="16">
        <v>1</v>
      </c>
      <c r="P82" s="12">
        <v>0</v>
      </c>
      <c r="Q82" s="16">
        <v>0</v>
      </c>
      <c r="R82" s="10"/>
      <c r="S82" s="10">
        <v>3432.923449101796</v>
      </c>
      <c r="T82" s="10">
        <v>0</v>
      </c>
      <c r="U82" s="10">
        <v>291.2969120420218</v>
      </c>
    </row>
    <row r="83" spans="1:21" x14ac:dyDescent="0.35">
      <c r="A83" s="6" t="s">
        <v>139</v>
      </c>
      <c r="B83" s="6" t="s">
        <v>145</v>
      </c>
      <c r="C83" s="6" t="s">
        <v>154</v>
      </c>
      <c r="D83" s="6" t="s">
        <v>153</v>
      </c>
      <c r="E83" s="7">
        <v>4.6900000000000004</v>
      </c>
      <c r="F83" s="18">
        <v>0.5171</v>
      </c>
      <c r="G83" s="18">
        <v>0.65139999999999998</v>
      </c>
      <c r="H83" s="13">
        <v>661</v>
      </c>
      <c r="I83" s="13">
        <v>661</v>
      </c>
      <c r="J83" s="7">
        <v>2862367.4</v>
      </c>
      <c r="K83" s="7">
        <v>4330.3599999999997</v>
      </c>
      <c r="L83" s="13">
        <v>0</v>
      </c>
      <c r="M83" s="18">
        <v>0</v>
      </c>
      <c r="N83" s="13">
        <v>0</v>
      </c>
      <c r="O83" s="18">
        <v>0</v>
      </c>
      <c r="P83" s="13">
        <v>661</v>
      </c>
      <c r="Q83" s="18">
        <v>1</v>
      </c>
      <c r="R83" s="7"/>
      <c r="S83" s="7"/>
      <c r="T83" s="7">
        <v>0</v>
      </c>
      <c r="U83" s="7">
        <v>0</v>
      </c>
    </row>
    <row r="84" spans="1:21" x14ac:dyDescent="0.35">
      <c r="A84" s="9" t="s">
        <v>146</v>
      </c>
      <c r="B84" s="9" t="s">
        <v>140</v>
      </c>
      <c r="C84" s="9" t="s">
        <v>141</v>
      </c>
      <c r="D84" s="9" t="s">
        <v>153</v>
      </c>
      <c r="E84" s="10">
        <v>4.76</v>
      </c>
      <c r="F84" s="16">
        <v>0.52880000000000005</v>
      </c>
      <c r="G84" s="16">
        <v>0.65370000000000006</v>
      </c>
      <c r="H84" s="12">
        <v>826</v>
      </c>
      <c r="I84" s="12">
        <v>826</v>
      </c>
      <c r="J84" s="10">
        <v>2858153.24</v>
      </c>
      <c r="K84" s="10">
        <v>3460.23</v>
      </c>
      <c r="L84" s="12">
        <v>0</v>
      </c>
      <c r="M84" s="16">
        <v>0</v>
      </c>
      <c r="N84" s="12">
        <v>826</v>
      </c>
      <c r="O84" s="16">
        <v>1</v>
      </c>
      <c r="P84" s="12">
        <v>0</v>
      </c>
      <c r="Q84" s="16">
        <v>0</v>
      </c>
      <c r="R84" s="10"/>
      <c r="S84" s="10">
        <v>3460.2339467312349</v>
      </c>
      <c r="T84" s="10">
        <v>0</v>
      </c>
      <c r="U84" s="10">
        <v>288.99780055179963</v>
      </c>
    </row>
    <row r="85" spans="1:21" x14ac:dyDescent="0.35">
      <c r="A85" s="6" t="s">
        <v>139</v>
      </c>
      <c r="B85" s="6" t="s">
        <v>147</v>
      </c>
      <c r="C85" s="6" t="s">
        <v>141</v>
      </c>
      <c r="D85" s="6" t="s">
        <v>153</v>
      </c>
      <c r="E85" s="7">
        <v>4.75</v>
      </c>
      <c r="F85" s="18">
        <v>0.53620000000000001</v>
      </c>
      <c r="G85" s="18">
        <v>0.64890000000000003</v>
      </c>
      <c r="H85" s="13">
        <v>896</v>
      </c>
      <c r="I85" s="13">
        <v>896</v>
      </c>
      <c r="J85" s="7">
        <v>2801719.08</v>
      </c>
      <c r="K85" s="7">
        <v>3126.92</v>
      </c>
      <c r="L85" s="13">
        <v>0</v>
      </c>
      <c r="M85" s="18">
        <v>0</v>
      </c>
      <c r="N85" s="13">
        <v>896</v>
      </c>
      <c r="O85" s="18">
        <v>1</v>
      </c>
      <c r="P85" s="13">
        <v>0</v>
      </c>
      <c r="Q85" s="18">
        <v>0</v>
      </c>
      <c r="R85" s="7"/>
      <c r="S85" s="7">
        <v>3126.918616071428</v>
      </c>
      <c r="T85" s="7">
        <v>0</v>
      </c>
      <c r="U85" s="7">
        <v>319.80365426215388</v>
      </c>
    </row>
    <row r="86" spans="1:21" x14ac:dyDescent="0.35">
      <c r="A86" s="9" t="s">
        <v>149</v>
      </c>
      <c r="B86" s="9" t="s">
        <v>148</v>
      </c>
      <c r="C86" s="9" t="s">
        <v>141</v>
      </c>
      <c r="D86" s="9" t="s">
        <v>153</v>
      </c>
      <c r="E86" s="10">
        <v>4.72</v>
      </c>
      <c r="F86" s="16">
        <v>0.54120000000000001</v>
      </c>
      <c r="G86" s="16">
        <v>0.65549999999999997</v>
      </c>
      <c r="H86" s="12">
        <v>872</v>
      </c>
      <c r="I86" s="12">
        <v>872</v>
      </c>
      <c r="J86" s="10">
        <v>2793687.11</v>
      </c>
      <c r="K86" s="10">
        <v>3203.77</v>
      </c>
      <c r="L86" s="12">
        <v>0</v>
      </c>
      <c r="M86" s="16">
        <v>0</v>
      </c>
      <c r="N86" s="12">
        <v>872</v>
      </c>
      <c r="O86" s="16">
        <v>1</v>
      </c>
      <c r="P86" s="12">
        <v>0</v>
      </c>
      <c r="Q86" s="16">
        <v>0</v>
      </c>
      <c r="R86" s="10"/>
      <c r="S86" s="10">
        <v>3203.7696215596329</v>
      </c>
      <c r="T86" s="10">
        <v>0</v>
      </c>
      <c r="U86" s="10">
        <v>312.13230604052859</v>
      </c>
    </row>
    <row r="87" spans="1:21" x14ac:dyDescent="0.35">
      <c r="A87" s="6" t="s">
        <v>150</v>
      </c>
      <c r="B87" s="6" t="s">
        <v>148</v>
      </c>
      <c r="C87" s="6" t="s">
        <v>141</v>
      </c>
      <c r="D87" s="6" t="s">
        <v>153</v>
      </c>
      <c r="E87" s="7">
        <v>4.76</v>
      </c>
      <c r="F87" s="18">
        <v>0.54200000000000004</v>
      </c>
      <c r="G87" s="18">
        <v>0.65670000000000006</v>
      </c>
      <c r="H87" s="13">
        <v>849</v>
      </c>
      <c r="I87" s="13">
        <v>849</v>
      </c>
      <c r="J87" s="7">
        <v>2782429.47</v>
      </c>
      <c r="K87" s="7">
        <v>3277.3</v>
      </c>
      <c r="L87" s="13">
        <v>0</v>
      </c>
      <c r="M87" s="18">
        <v>0</v>
      </c>
      <c r="N87" s="13">
        <v>849</v>
      </c>
      <c r="O87" s="18">
        <v>1</v>
      </c>
      <c r="P87" s="13">
        <v>0</v>
      </c>
      <c r="Q87" s="18">
        <v>0</v>
      </c>
      <c r="R87" s="7"/>
      <c r="S87" s="7">
        <v>3277.302084805654</v>
      </c>
      <c r="T87" s="7">
        <v>0</v>
      </c>
      <c r="U87" s="7">
        <v>305.12902812231931</v>
      </c>
    </row>
    <row r="88" spans="1:21" x14ac:dyDescent="0.35">
      <c r="A88" s="9" t="s">
        <v>146</v>
      </c>
      <c r="B88" s="9" t="s">
        <v>147</v>
      </c>
      <c r="C88" s="9" t="s">
        <v>141</v>
      </c>
      <c r="D88" s="9" t="s">
        <v>153</v>
      </c>
      <c r="E88" s="10">
        <v>4.7300000000000004</v>
      </c>
      <c r="F88" s="16">
        <v>0.53520000000000001</v>
      </c>
      <c r="G88" s="16">
        <v>0.64629999999999999</v>
      </c>
      <c r="H88" s="12">
        <v>796</v>
      </c>
      <c r="I88" s="12">
        <v>796</v>
      </c>
      <c r="J88" s="10">
        <v>2742931.45</v>
      </c>
      <c r="K88" s="10">
        <v>3445.89</v>
      </c>
      <c r="L88" s="12">
        <v>0</v>
      </c>
      <c r="M88" s="16">
        <v>0</v>
      </c>
      <c r="N88" s="12">
        <v>796</v>
      </c>
      <c r="O88" s="16">
        <v>1</v>
      </c>
      <c r="P88" s="12">
        <v>0</v>
      </c>
      <c r="Q88" s="16">
        <v>0</v>
      </c>
      <c r="R88" s="10"/>
      <c r="S88" s="10">
        <v>3445.893781407035</v>
      </c>
      <c r="T88" s="10">
        <v>0</v>
      </c>
      <c r="U88" s="10">
        <v>290.20047147003982</v>
      </c>
    </row>
    <row r="89" spans="1:21" x14ac:dyDescent="0.35">
      <c r="A89" s="6" t="s">
        <v>146</v>
      </c>
      <c r="B89" s="6" t="s">
        <v>144</v>
      </c>
      <c r="C89" s="6" t="s">
        <v>141</v>
      </c>
      <c r="D89" s="6" t="s">
        <v>153</v>
      </c>
      <c r="E89" s="7">
        <v>4.7300000000000004</v>
      </c>
      <c r="F89" s="18">
        <v>0.53210000000000002</v>
      </c>
      <c r="G89" s="18">
        <v>0.64910000000000001</v>
      </c>
      <c r="H89" s="13">
        <v>826</v>
      </c>
      <c r="I89" s="13">
        <v>826</v>
      </c>
      <c r="J89" s="7">
        <v>2716200.13</v>
      </c>
      <c r="K89" s="7">
        <v>3288.38</v>
      </c>
      <c r="L89" s="13">
        <v>0</v>
      </c>
      <c r="M89" s="18">
        <v>0</v>
      </c>
      <c r="N89" s="13">
        <v>826</v>
      </c>
      <c r="O89" s="18">
        <v>1</v>
      </c>
      <c r="P89" s="13">
        <v>0</v>
      </c>
      <c r="Q89" s="18">
        <v>0</v>
      </c>
      <c r="R89" s="7"/>
      <c r="S89" s="7">
        <v>3288.377881355932</v>
      </c>
      <c r="T89" s="7">
        <v>0</v>
      </c>
      <c r="U89" s="7">
        <v>304.10130346323189</v>
      </c>
    </row>
    <row r="90" spans="1:21" x14ac:dyDescent="0.35">
      <c r="A90" s="9" t="s">
        <v>139</v>
      </c>
      <c r="B90" s="9" t="s">
        <v>145</v>
      </c>
      <c r="C90" s="9" t="s">
        <v>141</v>
      </c>
      <c r="D90" s="9" t="s">
        <v>153</v>
      </c>
      <c r="E90" s="10">
        <v>4.72</v>
      </c>
      <c r="F90" s="16">
        <v>0.53390000000000004</v>
      </c>
      <c r="G90" s="16">
        <v>0.63929999999999998</v>
      </c>
      <c r="H90" s="12">
        <v>822</v>
      </c>
      <c r="I90" s="12">
        <v>822</v>
      </c>
      <c r="J90" s="10">
        <v>2699249.79</v>
      </c>
      <c r="K90" s="10">
        <v>3283.76</v>
      </c>
      <c r="L90" s="12">
        <v>0</v>
      </c>
      <c r="M90" s="16">
        <v>0</v>
      </c>
      <c r="N90" s="12">
        <v>822</v>
      </c>
      <c r="O90" s="16">
        <v>1</v>
      </c>
      <c r="P90" s="12">
        <v>0</v>
      </c>
      <c r="Q90" s="16">
        <v>0</v>
      </c>
      <c r="R90" s="10"/>
      <c r="S90" s="10">
        <v>3283.7588686131389</v>
      </c>
      <c r="T90" s="10">
        <v>0</v>
      </c>
      <c r="U90" s="10">
        <v>304.52905953546451</v>
      </c>
    </row>
    <row r="91" spans="1:21" x14ac:dyDescent="0.35">
      <c r="A91" s="6" t="s">
        <v>146</v>
      </c>
      <c r="B91" s="6" t="s">
        <v>145</v>
      </c>
      <c r="C91" s="6" t="s">
        <v>141</v>
      </c>
      <c r="D91" s="6" t="s">
        <v>153</v>
      </c>
      <c r="E91" s="7">
        <v>4.75</v>
      </c>
      <c r="F91" s="18">
        <v>0.53129999999999999</v>
      </c>
      <c r="G91" s="18">
        <v>0.64829999999999999</v>
      </c>
      <c r="H91" s="13">
        <v>829</v>
      </c>
      <c r="I91" s="13">
        <v>829</v>
      </c>
      <c r="J91" s="7">
        <v>2686984.96</v>
      </c>
      <c r="K91" s="7">
        <v>3241.24</v>
      </c>
      <c r="L91" s="13">
        <v>0</v>
      </c>
      <c r="M91" s="18">
        <v>0</v>
      </c>
      <c r="N91" s="13">
        <v>829</v>
      </c>
      <c r="O91" s="18">
        <v>1</v>
      </c>
      <c r="P91" s="13">
        <v>0</v>
      </c>
      <c r="Q91" s="18">
        <v>0</v>
      </c>
      <c r="R91" s="7"/>
      <c r="S91" s="7">
        <v>3241.2363811821469</v>
      </c>
      <c r="T91" s="7">
        <v>0</v>
      </c>
      <c r="U91" s="7">
        <v>308.52424272594362</v>
      </c>
    </row>
    <row r="92" spans="1:21" x14ac:dyDescent="0.35">
      <c r="A92" s="9" t="s">
        <v>139</v>
      </c>
      <c r="B92" s="9" t="s">
        <v>148</v>
      </c>
      <c r="C92" s="9" t="s">
        <v>141</v>
      </c>
      <c r="D92" s="9" t="s">
        <v>153</v>
      </c>
      <c r="E92" s="10">
        <v>4.7699999999999996</v>
      </c>
      <c r="F92" s="16">
        <v>0.54259999999999997</v>
      </c>
      <c r="G92" s="16">
        <v>0.6522</v>
      </c>
      <c r="H92" s="12">
        <v>900</v>
      </c>
      <c r="I92" s="12">
        <v>900</v>
      </c>
      <c r="J92" s="10">
        <v>2665763.54</v>
      </c>
      <c r="K92" s="10">
        <v>2961.96</v>
      </c>
      <c r="L92" s="12">
        <v>0</v>
      </c>
      <c r="M92" s="16">
        <v>0</v>
      </c>
      <c r="N92" s="12">
        <v>900</v>
      </c>
      <c r="O92" s="16">
        <v>1</v>
      </c>
      <c r="P92" s="12">
        <v>0</v>
      </c>
      <c r="Q92" s="16">
        <v>0</v>
      </c>
      <c r="R92" s="10"/>
      <c r="S92" s="10">
        <v>2961.9594888888892</v>
      </c>
      <c r="T92" s="10">
        <v>0</v>
      </c>
      <c r="U92" s="10">
        <v>337.61434069279829</v>
      </c>
    </row>
    <row r="93" spans="1:21" x14ac:dyDescent="0.35">
      <c r="A93" s="6" t="s">
        <v>150</v>
      </c>
      <c r="B93" s="6" t="s">
        <v>147</v>
      </c>
      <c r="C93" s="6" t="s">
        <v>141</v>
      </c>
      <c r="D93" s="6" t="s">
        <v>153</v>
      </c>
      <c r="E93" s="7">
        <v>4.7</v>
      </c>
      <c r="F93" s="18">
        <v>0.52969999999999995</v>
      </c>
      <c r="G93" s="18">
        <v>0.64400000000000002</v>
      </c>
      <c r="H93" s="13">
        <v>856</v>
      </c>
      <c r="I93" s="13">
        <v>856</v>
      </c>
      <c r="J93" s="7">
        <v>2659356.14</v>
      </c>
      <c r="K93" s="7">
        <v>3106.72</v>
      </c>
      <c r="L93" s="13">
        <v>0</v>
      </c>
      <c r="M93" s="18">
        <v>0</v>
      </c>
      <c r="N93" s="13">
        <v>856</v>
      </c>
      <c r="O93" s="18">
        <v>1</v>
      </c>
      <c r="P93" s="13">
        <v>0</v>
      </c>
      <c r="Q93" s="18">
        <v>0</v>
      </c>
      <c r="R93" s="7"/>
      <c r="S93" s="7">
        <v>3106.7244626168231</v>
      </c>
      <c r="T93" s="7">
        <v>0</v>
      </c>
      <c r="U93" s="7">
        <v>321.88242376592711</v>
      </c>
    </row>
    <row r="94" spans="1:21" x14ac:dyDescent="0.35">
      <c r="A94" s="9" t="s">
        <v>146</v>
      </c>
      <c r="B94" s="9" t="s">
        <v>144</v>
      </c>
      <c r="C94" s="9" t="s">
        <v>154</v>
      </c>
      <c r="D94" s="9" t="s">
        <v>153</v>
      </c>
      <c r="E94" s="10">
        <v>4.68</v>
      </c>
      <c r="F94" s="16">
        <v>0.54799999999999993</v>
      </c>
      <c r="G94" s="16">
        <v>0.65010000000000001</v>
      </c>
      <c r="H94" s="12">
        <v>686</v>
      </c>
      <c r="I94" s="12">
        <v>686</v>
      </c>
      <c r="J94" s="10">
        <v>2648323.1</v>
      </c>
      <c r="K94" s="10">
        <v>3860.53</v>
      </c>
      <c r="L94" s="12">
        <v>0</v>
      </c>
      <c r="M94" s="16">
        <v>0</v>
      </c>
      <c r="N94" s="12">
        <v>0</v>
      </c>
      <c r="O94" s="16">
        <v>0</v>
      </c>
      <c r="P94" s="12">
        <v>686</v>
      </c>
      <c r="Q94" s="16">
        <v>1</v>
      </c>
      <c r="R94" s="10"/>
      <c r="S94" s="10"/>
      <c r="T94" s="10">
        <v>0</v>
      </c>
      <c r="U94" s="10">
        <v>0</v>
      </c>
    </row>
    <row r="95" spans="1:21" x14ac:dyDescent="0.35">
      <c r="A95" s="6" t="s">
        <v>150</v>
      </c>
      <c r="B95" s="6" t="s">
        <v>147</v>
      </c>
      <c r="C95" s="6" t="s">
        <v>154</v>
      </c>
      <c r="D95" s="6" t="s">
        <v>153</v>
      </c>
      <c r="E95" s="7">
        <v>4.67</v>
      </c>
      <c r="F95" s="18">
        <v>0.52790000000000004</v>
      </c>
      <c r="G95" s="18">
        <v>0.65709999999999991</v>
      </c>
      <c r="H95" s="13">
        <v>674</v>
      </c>
      <c r="I95" s="13">
        <v>674</v>
      </c>
      <c r="J95" s="7">
        <v>2625341.3199999998</v>
      </c>
      <c r="K95" s="7">
        <v>3895.17</v>
      </c>
      <c r="L95" s="13">
        <v>0</v>
      </c>
      <c r="M95" s="18">
        <v>0</v>
      </c>
      <c r="N95" s="13">
        <v>0</v>
      </c>
      <c r="O95" s="18">
        <v>0</v>
      </c>
      <c r="P95" s="13">
        <v>674</v>
      </c>
      <c r="Q95" s="18">
        <v>1</v>
      </c>
      <c r="R95" s="7"/>
      <c r="S95" s="7"/>
      <c r="T95" s="7">
        <v>0</v>
      </c>
      <c r="U95" s="7">
        <v>0</v>
      </c>
    </row>
    <row r="96" spans="1:21" x14ac:dyDescent="0.35">
      <c r="A96" s="9" t="s">
        <v>143</v>
      </c>
      <c r="B96" s="9" t="s">
        <v>148</v>
      </c>
      <c r="C96" s="9" t="s">
        <v>154</v>
      </c>
      <c r="D96" s="9" t="s">
        <v>142</v>
      </c>
      <c r="E96" s="10">
        <v>9.16</v>
      </c>
      <c r="F96" s="16">
        <v>0.98980000000000001</v>
      </c>
      <c r="G96" s="16">
        <v>0.64459999999999995</v>
      </c>
      <c r="H96" s="12">
        <v>616</v>
      </c>
      <c r="I96" s="12">
        <v>616</v>
      </c>
      <c r="J96" s="10">
        <v>2617728.16</v>
      </c>
      <c r="K96" s="10">
        <v>4249.5600000000004</v>
      </c>
      <c r="L96" s="12">
        <v>0</v>
      </c>
      <c r="M96" s="16">
        <v>0</v>
      </c>
      <c r="N96" s="12">
        <v>0</v>
      </c>
      <c r="O96" s="16">
        <v>0</v>
      </c>
      <c r="P96" s="12">
        <v>616</v>
      </c>
      <c r="Q96" s="16">
        <v>1</v>
      </c>
      <c r="R96" s="10"/>
      <c r="S96" s="10"/>
      <c r="T96" s="10">
        <v>0</v>
      </c>
      <c r="U96" s="10">
        <v>0</v>
      </c>
    </row>
    <row r="97" spans="1:21" x14ac:dyDescent="0.35">
      <c r="A97" s="6" t="s">
        <v>149</v>
      </c>
      <c r="B97" s="6" t="s">
        <v>151</v>
      </c>
      <c r="C97" s="6" t="s">
        <v>141</v>
      </c>
      <c r="D97" s="6" t="s">
        <v>153</v>
      </c>
      <c r="E97" s="7">
        <v>4.75</v>
      </c>
      <c r="F97" s="18">
        <v>0.54039999999999999</v>
      </c>
      <c r="G97" s="18">
        <v>0.64249999999999996</v>
      </c>
      <c r="H97" s="13">
        <v>822</v>
      </c>
      <c r="I97" s="13">
        <v>822</v>
      </c>
      <c r="J97" s="7">
        <v>2600509.5</v>
      </c>
      <c r="K97" s="7">
        <v>3163.64</v>
      </c>
      <c r="L97" s="13">
        <v>0</v>
      </c>
      <c r="M97" s="18">
        <v>0</v>
      </c>
      <c r="N97" s="13">
        <v>822</v>
      </c>
      <c r="O97" s="18">
        <v>1</v>
      </c>
      <c r="P97" s="13">
        <v>0</v>
      </c>
      <c r="Q97" s="18">
        <v>0</v>
      </c>
      <c r="R97" s="7"/>
      <c r="S97" s="7">
        <v>3163.6368613138679</v>
      </c>
      <c r="T97" s="7">
        <v>0</v>
      </c>
      <c r="U97" s="7">
        <v>316.09190429798468</v>
      </c>
    </row>
    <row r="98" spans="1:21" x14ac:dyDescent="0.35">
      <c r="A98" s="9" t="s">
        <v>143</v>
      </c>
      <c r="B98" s="9" t="s">
        <v>151</v>
      </c>
      <c r="C98" s="9" t="s">
        <v>154</v>
      </c>
      <c r="D98" s="9" t="s">
        <v>153</v>
      </c>
      <c r="E98" s="10">
        <v>4.66</v>
      </c>
      <c r="F98" s="16">
        <v>0.51950000000000007</v>
      </c>
      <c r="G98" s="16">
        <v>0.64370000000000005</v>
      </c>
      <c r="H98" s="12">
        <v>686</v>
      </c>
      <c r="I98" s="12">
        <v>686</v>
      </c>
      <c r="J98" s="10">
        <v>2594404.83</v>
      </c>
      <c r="K98" s="10">
        <v>3781.93</v>
      </c>
      <c r="L98" s="12">
        <v>0</v>
      </c>
      <c r="M98" s="16">
        <v>0</v>
      </c>
      <c r="N98" s="12">
        <v>0</v>
      </c>
      <c r="O98" s="16">
        <v>0</v>
      </c>
      <c r="P98" s="12">
        <v>686</v>
      </c>
      <c r="Q98" s="16">
        <v>1</v>
      </c>
      <c r="R98" s="10"/>
      <c r="S98" s="10"/>
      <c r="T98" s="10">
        <v>0</v>
      </c>
      <c r="U98" s="10">
        <v>0</v>
      </c>
    </row>
    <row r="99" spans="1:21" x14ac:dyDescent="0.35">
      <c r="A99" s="6" t="s">
        <v>149</v>
      </c>
      <c r="B99" s="6" t="s">
        <v>145</v>
      </c>
      <c r="C99" s="6" t="s">
        <v>154</v>
      </c>
      <c r="D99" s="6" t="s">
        <v>153</v>
      </c>
      <c r="E99" s="7">
        <v>4.66</v>
      </c>
      <c r="F99" s="18">
        <v>0.52560000000000007</v>
      </c>
      <c r="G99" s="18">
        <v>0.64290000000000003</v>
      </c>
      <c r="H99" s="13">
        <v>658</v>
      </c>
      <c r="I99" s="13">
        <v>658</v>
      </c>
      <c r="J99" s="7">
        <v>2551680.9700000002</v>
      </c>
      <c r="K99" s="7">
        <v>3877.93</v>
      </c>
      <c r="L99" s="13">
        <v>0</v>
      </c>
      <c r="M99" s="18">
        <v>0</v>
      </c>
      <c r="N99" s="13">
        <v>0</v>
      </c>
      <c r="O99" s="18">
        <v>0</v>
      </c>
      <c r="P99" s="13">
        <v>658</v>
      </c>
      <c r="Q99" s="18">
        <v>1</v>
      </c>
      <c r="R99" s="7"/>
      <c r="S99" s="7"/>
      <c r="T99" s="7">
        <v>0</v>
      </c>
      <c r="U99" s="7">
        <v>0</v>
      </c>
    </row>
    <row r="100" spans="1:21" x14ac:dyDescent="0.35">
      <c r="A100" s="9" t="s">
        <v>150</v>
      </c>
      <c r="B100" s="9" t="s">
        <v>145</v>
      </c>
      <c r="C100" s="9" t="s">
        <v>141</v>
      </c>
      <c r="D100" s="9" t="s">
        <v>153</v>
      </c>
      <c r="E100" s="10">
        <v>4.7300000000000004</v>
      </c>
      <c r="F100" s="16">
        <v>0.53</v>
      </c>
      <c r="G100" s="16">
        <v>0.64040000000000008</v>
      </c>
      <c r="H100" s="12">
        <v>849</v>
      </c>
      <c r="I100" s="12">
        <v>849</v>
      </c>
      <c r="J100" s="10">
        <v>2545384.0299999998</v>
      </c>
      <c r="K100" s="10">
        <v>2998.1</v>
      </c>
      <c r="L100" s="12">
        <v>0</v>
      </c>
      <c r="M100" s="16">
        <v>0</v>
      </c>
      <c r="N100" s="12">
        <v>849</v>
      </c>
      <c r="O100" s="16">
        <v>1</v>
      </c>
      <c r="P100" s="12">
        <v>0</v>
      </c>
      <c r="Q100" s="16">
        <v>0</v>
      </c>
      <c r="R100" s="10"/>
      <c r="S100" s="10">
        <v>2998.0966195524138</v>
      </c>
      <c r="T100" s="10">
        <v>0</v>
      </c>
      <c r="U100" s="10">
        <v>333.54495431481121</v>
      </c>
    </row>
    <row r="101" spans="1:21" x14ac:dyDescent="0.35">
      <c r="A101" s="6" t="s">
        <v>143</v>
      </c>
      <c r="B101" s="6" t="s">
        <v>148</v>
      </c>
      <c r="C101" s="6" t="s">
        <v>141</v>
      </c>
      <c r="D101" s="6" t="s">
        <v>153</v>
      </c>
      <c r="E101" s="7">
        <v>4.72</v>
      </c>
      <c r="F101" s="18">
        <v>0.5373</v>
      </c>
      <c r="G101" s="18">
        <v>0.64549999999999996</v>
      </c>
      <c r="H101" s="13">
        <v>832</v>
      </c>
      <c r="I101" s="13">
        <v>832</v>
      </c>
      <c r="J101" s="7">
        <v>2544702.88</v>
      </c>
      <c r="K101" s="7">
        <v>3058.54</v>
      </c>
      <c r="L101" s="13">
        <v>0</v>
      </c>
      <c r="M101" s="18">
        <v>0</v>
      </c>
      <c r="N101" s="13">
        <v>832</v>
      </c>
      <c r="O101" s="18">
        <v>1</v>
      </c>
      <c r="P101" s="13">
        <v>0</v>
      </c>
      <c r="Q101" s="18">
        <v>0</v>
      </c>
      <c r="R101" s="7"/>
      <c r="S101" s="7">
        <v>3058.5371153846149</v>
      </c>
      <c r="T101" s="7">
        <v>0</v>
      </c>
      <c r="U101" s="7">
        <v>326.95369134804457</v>
      </c>
    </row>
    <row r="102" spans="1:21" x14ac:dyDescent="0.35">
      <c r="A102" s="9" t="s">
        <v>146</v>
      </c>
      <c r="B102" s="9" t="s">
        <v>148</v>
      </c>
      <c r="C102" s="9" t="s">
        <v>154</v>
      </c>
      <c r="D102" s="9" t="s">
        <v>142</v>
      </c>
      <c r="E102" s="10">
        <v>9.08</v>
      </c>
      <c r="F102" s="16">
        <v>0.99180000000000001</v>
      </c>
      <c r="G102" s="16">
        <v>0.65500000000000003</v>
      </c>
      <c r="H102" s="12">
        <v>700</v>
      </c>
      <c r="I102" s="12">
        <v>700</v>
      </c>
      <c r="J102" s="10">
        <v>2536637.14</v>
      </c>
      <c r="K102" s="10">
        <v>3623.77</v>
      </c>
      <c r="L102" s="12">
        <v>0</v>
      </c>
      <c r="M102" s="16">
        <v>0</v>
      </c>
      <c r="N102" s="12">
        <v>0</v>
      </c>
      <c r="O102" s="16">
        <v>0</v>
      </c>
      <c r="P102" s="12">
        <v>700</v>
      </c>
      <c r="Q102" s="16">
        <v>1</v>
      </c>
      <c r="R102" s="10"/>
      <c r="S102" s="10"/>
      <c r="T102" s="10">
        <v>0</v>
      </c>
      <c r="U102" s="10">
        <v>0</v>
      </c>
    </row>
    <row r="103" spans="1:21" x14ac:dyDescent="0.35">
      <c r="A103" s="6" t="s">
        <v>150</v>
      </c>
      <c r="B103" s="6" t="s">
        <v>144</v>
      </c>
      <c r="C103" s="6" t="s">
        <v>154</v>
      </c>
      <c r="D103" s="6" t="s">
        <v>153</v>
      </c>
      <c r="E103" s="7">
        <v>4.68</v>
      </c>
      <c r="F103" s="18">
        <v>0.52959999999999996</v>
      </c>
      <c r="G103" s="18">
        <v>0.65370000000000006</v>
      </c>
      <c r="H103" s="13">
        <v>687</v>
      </c>
      <c r="I103" s="13">
        <v>687</v>
      </c>
      <c r="J103" s="7">
        <v>2532628.36</v>
      </c>
      <c r="K103" s="7">
        <v>3686.5</v>
      </c>
      <c r="L103" s="13">
        <v>0</v>
      </c>
      <c r="M103" s="18">
        <v>0</v>
      </c>
      <c r="N103" s="13">
        <v>0</v>
      </c>
      <c r="O103" s="18">
        <v>0</v>
      </c>
      <c r="P103" s="13">
        <v>687</v>
      </c>
      <c r="Q103" s="18">
        <v>1</v>
      </c>
      <c r="R103" s="7"/>
      <c r="S103" s="7"/>
      <c r="T103" s="7">
        <v>0</v>
      </c>
      <c r="U103" s="7">
        <v>0</v>
      </c>
    </row>
    <row r="104" spans="1:21" x14ac:dyDescent="0.35">
      <c r="A104" s="9" t="s">
        <v>139</v>
      </c>
      <c r="B104" s="9" t="s">
        <v>148</v>
      </c>
      <c r="C104" s="9" t="s">
        <v>154</v>
      </c>
      <c r="D104" s="9" t="s">
        <v>153</v>
      </c>
      <c r="E104" s="10">
        <v>4.6900000000000004</v>
      </c>
      <c r="F104" s="16">
        <v>0.54069999999999996</v>
      </c>
      <c r="G104" s="16">
        <v>0.65469999999999995</v>
      </c>
      <c r="H104" s="12">
        <v>651</v>
      </c>
      <c r="I104" s="12">
        <v>651</v>
      </c>
      <c r="J104" s="10">
        <v>2522425.86</v>
      </c>
      <c r="K104" s="10">
        <v>3874.69</v>
      </c>
      <c r="L104" s="12">
        <v>0</v>
      </c>
      <c r="M104" s="16">
        <v>0</v>
      </c>
      <c r="N104" s="12">
        <v>0</v>
      </c>
      <c r="O104" s="16">
        <v>0</v>
      </c>
      <c r="P104" s="12">
        <v>651</v>
      </c>
      <c r="Q104" s="16">
        <v>1</v>
      </c>
      <c r="R104" s="10"/>
      <c r="S104" s="10"/>
      <c r="T104" s="10">
        <v>0</v>
      </c>
      <c r="U104" s="10">
        <v>0</v>
      </c>
    </row>
    <row r="105" spans="1:21" x14ac:dyDescent="0.35">
      <c r="A105" s="6" t="s">
        <v>146</v>
      </c>
      <c r="B105" s="6" t="s">
        <v>140</v>
      </c>
      <c r="C105" s="6" t="s">
        <v>154</v>
      </c>
      <c r="D105" s="6" t="s">
        <v>142</v>
      </c>
      <c r="E105" s="7">
        <v>9.0299999999999994</v>
      </c>
      <c r="F105" s="18">
        <v>0.99099999999999999</v>
      </c>
      <c r="G105" s="18">
        <v>0.64540000000000008</v>
      </c>
      <c r="H105" s="13">
        <v>639</v>
      </c>
      <c r="I105" s="13">
        <v>639</v>
      </c>
      <c r="J105" s="7">
        <v>2488190.2400000002</v>
      </c>
      <c r="K105" s="7">
        <v>3893.88</v>
      </c>
      <c r="L105" s="13">
        <v>0</v>
      </c>
      <c r="M105" s="18">
        <v>0</v>
      </c>
      <c r="N105" s="13">
        <v>0</v>
      </c>
      <c r="O105" s="18">
        <v>0</v>
      </c>
      <c r="P105" s="13">
        <v>639</v>
      </c>
      <c r="Q105" s="18">
        <v>1</v>
      </c>
      <c r="R105" s="7"/>
      <c r="S105" s="7"/>
      <c r="T105" s="7">
        <v>0</v>
      </c>
      <c r="U105" s="7">
        <v>0</v>
      </c>
    </row>
    <row r="106" spans="1:21" x14ac:dyDescent="0.35">
      <c r="A106" s="9" t="s">
        <v>139</v>
      </c>
      <c r="B106" s="9" t="s">
        <v>140</v>
      </c>
      <c r="C106" s="9" t="s">
        <v>141</v>
      </c>
      <c r="D106" s="9" t="s">
        <v>153</v>
      </c>
      <c r="E106" s="10">
        <v>4.76</v>
      </c>
      <c r="F106" s="16">
        <v>0.53539999999999999</v>
      </c>
      <c r="G106" s="16">
        <v>0.6492</v>
      </c>
      <c r="H106" s="12">
        <v>799</v>
      </c>
      <c r="I106" s="12">
        <v>799</v>
      </c>
      <c r="J106" s="10">
        <v>2470351.17</v>
      </c>
      <c r="K106" s="10">
        <v>3091.8</v>
      </c>
      <c r="L106" s="12">
        <v>0</v>
      </c>
      <c r="M106" s="16">
        <v>0</v>
      </c>
      <c r="N106" s="12">
        <v>799</v>
      </c>
      <c r="O106" s="16">
        <v>1</v>
      </c>
      <c r="P106" s="12">
        <v>0</v>
      </c>
      <c r="Q106" s="16">
        <v>0</v>
      </c>
      <c r="R106" s="10"/>
      <c r="S106" s="10">
        <v>3091.803717146433</v>
      </c>
      <c r="T106" s="10">
        <v>0</v>
      </c>
      <c r="U106" s="10">
        <v>323.43579718668099</v>
      </c>
    </row>
    <row r="107" spans="1:21" x14ac:dyDescent="0.35">
      <c r="A107" s="6" t="s">
        <v>150</v>
      </c>
      <c r="B107" s="6" t="s">
        <v>145</v>
      </c>
      <c r="C107" s="6" t="s">
        <v>154</v>
      </c>
      <c r="D107" s="6" t="s">
        <v>153</v>
      </c>
      <c r="E107" s="7">
        <v>4.6500000000000004</v>
      </c>
      <c r="F107" s="18">
        <v>0.52270000000000005</v>
      </c>
      <c r="G107" s="18">
        <v>0.64989999999999992</v>
      </c>
      <c r="H107" s="13">
        <v>649</v>
      </c>
      <c r="I107" s="13">
        <v>649</v>
      </c>
      <c r="J107" s="7">
        <v>2449261.39</v>
      </c>
      <c r="K107" s="7">
        <v>3773.9</v>
      </c>
      <c r="L107" s="13">
        <v>0</v>
      </c>
      <c r="M107" s="18">
        <v>0</v>
      </c>
      <c r="N107" s="13">
        <v>0</v>
      </c>
      <c r="O107" s="18">
        <v>0</v>
      </c>
      <c r="P107" s="13">
        <v>649</v>
      </c>
      <c r="Q107" s="18">
        <v>1</v>
      </c>
      <c r="R107" s="7"/>
      <c r="S107" s="7"/>
      <c r="T107" s="7">
        <v>0</v>
      </c>
      <c r="U107" s="7">
        <v>0</v>
      </c>
    </row>
    <row r="108" spans="1:21" x14ac:dyDescent="0.35">
      <c r="A108" s="9" t="s">
        <v>146</v>
      </c>
      <c r="B108" s="9" t="s">
        <v>148</v>
      </c>
      <c r="C108" s="9" t="s">
        <v>141</v>
      </c>
      <c r="D108" s="9" t="s">
        <v>153</v>
      </c>
      <c r="E108" s="10">
        <v>4.7300000000000004</v>
      </c>
      <c r="F108" s="16">
        <v>0.53490000000000004</v>
      </c>
      <c r="G108" s="16">
        <v>0.64410000000000001</v>
      </c>
      <c r="H108" s="12">
        <v>859</v>
      </c>
      <c r="I108" s="12">
        <v>859</v>
      </c>
      <c r="J108" s="10">
        <v>2431068.4900000002</v>
      </c>
      <c r="K108" s="10">
        <v>2830.11</v>
      </c>
      <c r="L108" s="12">
        <v>0</v>
      </c>
      <c r="M108" s="16">
        <v>0</v>
      </c>
      <c r="N108" s="12">
        <v>859</v>
      </c>
      <c r="O108" s="16">
        <v>1</v>
      </c>
      <c r="P108" s="12">
        <v>0</v>
      </c>
      <c r="Q108" s="16">
        <v>0</v>
      </c>
      <c r="R108" s="10"/>
      <c r="S108" s="10">
        <v>2830.1146565774161</v>
      </c>
      <c r="T108" s="10">
        <v>0</v>
      </c>
      <c r="U108" s="10">
        <v>353.34257489388949</v>
      </c>
    </row>
    <row r="109" spans="1:21" x14ac:dyDescent="0.35">
      <c r="A109" s="6" t="s">
        <v>143</v>
      </c>
      <c r="B109" s="6" t="s">
        <v>147</v>
      </c>
      <c r="C109" s="6" t="s">
        <v>154</v>
      </c>
      <c r="D109" s="6" t="s">
        <v>142</v>
      </c>
      <c r="E109" s="7">
        <v>9.27</v>
      </c>
      <c r="F109" s="18">
        <v>0.99069999999999991</v>
      </c>
      <c r="G109" s="18">
        <v>0.64349999999999996</v>
      </c>
      <c r="H109" s="13">
        <v>636</v>
      </c>
      <c r="I109" s="13">
        <v>636</v>
      </c>
      <c r="J109" s="7">
        <v>2396718.2000000002</v>
      </c>
      <c r="K109" s="7">
        <v>3768.42</v>
      </c>
      <c r="L109" s="13">
        <v>0</v>
      </c>
      <c r="M109" s="18">
        <v>0</v>
      </c>
      <c r="N109" s="13">
        <v>0</v>
      </c>
      <c r="O109" s="18">
        <v>0</v>
      </c>
      <c r="P109" s="13">
        <v>636</v>
      </c>
      <c r="Q109" s="18">
        <v>1</v>
      </c>
      <c r="R109" s="7"/>
      <c r="S109" s="7"/>
      <c r="T109" s="7">
        <v>0</v>
      </c>
      <c r="U109" s="7">
        <v>0</v>
      </c>
    </row>
    <row r="110" spans="1:21" x14ac:dyDescent="0.35">
      <c r="A110" s="9" t="s">
        <v>143</v>
      </c>
      <c r="B110" s="9" t="s">
        <v>145</v>
      </c>
      <c r="C110" s="9" t="s">
        <v>154</v>
      </c>
      <c r="D110" s="9" t="s">
        <v>142</v>
      </c>
      <c r="E110" s="10">
        <v>9.15</v>
      </c>
      <c r="F110" s="16">
        <v>0.99180000000000001</v>
      </c>
      <c r="G110" s="16">
        <v>0.64510000000000001</v>
      </c>
      <c r="H110" s="12">
        <v>609</v>
      </c>
      <c r="I110" s="12">
        <v>609</v>
      </c>
      <c r="J110" s="10">
        <v>2391186.44</v>
      </c>
      <c r="K110" s="10">
        <v>3926.41</v>
      </c>
      <c r="L110" s="12">
        <v>0</v>
      </c>
      <c r="M110" s="16">
        <v>0</v>
      </c>
      <c r="N110" s="12">
        <v>0</v>
      </c>
      <c r="O110" s="16">
        <v>0</v>
      </c>
      <c r="P110" s="12">
        <v>609</v>
      </c>
      <c r="Q110" s="16">
        <v>1</v>
      </c>
      <c r="R110" s="10"/>
      <c r="S110" s="10"/>
      <c r="T110" s="10">
        <v>0</v>
      </c>
      <c r="U110" s="10">
        <v>0</v>
      </c>
    </row>
    <row r="111" spans="1:21" x14ac:dyDescent="0.35">
      <c r="A111" s="6" t="s">
        <v>143</v>
      </c>
      <c r="B111" s="6" t="s">
        <v>140</v>
      </c>
      <c r="C111" s="6" t="s">
        <v>154</v>
      </c>
      <c r="D111" s="6" t="s">
        <v>142</v>
      </c>
      <c r="E111" s="7">
        <v>9.0500000000000007</v>
      </c>
      <c r="F111" s="18">
        <v>0.99</v>
      </c>
      <c r="G111" s="18">
        <v>0.63950000000000007</v>
      </c>
      <c r="H111" s="13">
        <v>666</v>
      </c>
      <c r="I111" s="13">
        <v>666</v>
      </c>
      <c r="J111" s="7">
        <v>2384511.77</v>
      </c>
      <c r="K111" s="7">
        <v>3580.35</v>
      </c>
      <c r="L111" s="13">
        <v>0</v>
      </c>
      <c r="M111" s="18">
        <v>0</v>
      </c>
      <c r="N111" s="13">
        <v>0</v>
      </c>
      <c r="O111" s="18">
        <v>0</v>
      </c>
      <c r="P111" s="13">
        <v>666</v>
      </c>
      <c r="Q111" s="18">
        <v>1</v>
      </c>
      <c r="R111" s="7"/>
      <c r="S111" s="7"/>
      <c r="T111" s="7">
        <v>0</v>
      </c>
      <c r="U111" s="7">
        <v>0</v>
      </c>
    </row>
    <row r="112" spans="1:21" x14ac:dyDescent="0.35">
      <c r="A112" s="9" t="s">
        <v>143</v>
      </c>
      <c r="B112" s="9" t="s">
        <v>144</v>
      </c>
      <c r="C112" s="9" t="s">
        <v>154</v>
      </c>
      <c r="D112" s="9" t="s">
        <v>142</v>
      </c>
      <c r="E112" s="10">
        <v>9.14</v>
      </c>
      <c r="F112" s="16">
        <v>0.99019999999999997</v>
      </c>
      <c r="G112" s="16">
        <v>0.64340000000000008</v>
      </c>
      <c r="H112" s="12">
        <v>640</v>
      </c>
      <c r="I112" s="12">
        <v>640</v>
      </c>
      <c r="J112" s="10">
        <v>2377802.5099999998</v>
      </c>
      <c r="K112" s="10">
        <v>3715.32</v>
      </c>
      <c r="L112" s="12">
        <v>0</v>
      </c>
      <c r="M112" s="16">
        <v>0</v>
      </c>
      <c r="N112" s="12">
        <v>0</v>
      </c>
      <c r="O112" s="16">
        <v>0</v>
      </c>
      <c r="P112" s="12">
        <v>640</v>
      </c>
      <c r="Q112" s="16">
        <v>1</v>
      </c>
      <c r="R112" s="10"/>
      <c r="S112" s="10"/>
      <c r="T112" s="10">
        <v>0</v>
      </c>
      <c r="U112" s="10">
        <v>0</v>
      </c>
    </row>
    <row r="113" spans="1:21" x14ac:dyDescent="0.35">
      <c r="A113" s="6" t="s">
        <v>139</v>
      </c>
      <c r="B113" s="6" t="s">
        <v>144</v>
      </c>
      <c r="C113" s="6" t="s">
        <v>154</v>
      </c>
      <c r="D113" s="6" t="s">
        <v>142</v>
      </c>
      <c r="E113" s="7">
        <v>9.1199999999999992</v>
      </c>
      <c r="F113" s="18">
        <v>0.98829999999999996</v>
      </c>
      <c r="G113" s="18">
        <v>0.6462</v>
      </c>
      <c r="H113" s="13">
        <v>630</v>
      </c>
      <c r="I113" s="13">
        <v>630</v>
      </c>
      <c r="J113" s="7">
        <v>2365864.06</v>
      </c>
      <c r="K113" s="7">
        <v>3755.34</v>
      </c>
      <c r="L113" s="13">
        <v>0</v>
      </c>
      <c r="M113" s="18">
        <v>0</v>
      </c>
      <c r="N113" s="13">
        <v>0</v>
      </c>
      <c r="O113" s="18">
        <v>0</v>
      </c>
      <c r="P113" s="13">
        <v>630</v>
      </c>
      <c r="Q113" s="18">
        <v>1</v>
      </c>
      <c r="R113" s="7"/>
      <c r="S113" s="7"/>
      <c r="T113" s="7">
        <v>0</v>
      </c>
      <c r="U113" s="7">
        <v>0</v>
      </c>
    </row>
    <row r="114" spans="1:21" x14ac:dyDescent="0.35">
      <c r="A114" s="9" t="s">
        <v>143</v>
      </c>
      <c r="B114" s="9" t="s">
        <v>147</v>
      </c>
      <c r="C114" s="9" t="s">
        <v>154</v>
      </c>
      <c r="D114" s="9" t="s">
        <v>153</v>
      </c>
      <c r="E114" s="10">
        <v>4.68</v>
      </c>
      <c r="F114" s="16">
        <v>0.51019999999999999</v>
      </c>
      <c r="G114" s="16">
        <v>0.65480000000000005</v>
      </c>
      <c r="H114" s="12">
        <v>693</v>
      </c>
      <c r="I114" s="12">
        <v>693</v>
      </c>
      <c r="J114" s="10">
        <v>2363190.36</v>
      </c>
      <c r="K114" s="10">
        <v>3410.09</v>
      </c>
      <c r="L114" s="12">
        <v>0</v>
      </c>
      <c r="M114" s="16">
        <v>0</v>
      </c>
      <c r="N114" s="12">
        <v>0</v>
      </c>
      <c r="O114" s="16">
        <v>0</v>
      </c>
      <c r="P114" s="12">
        <v>693</v>
      </c>
      <c r="Q114" s="16">
        <v>1</v>
      </c>
      <c r="R114" s="10"/>
      <c r="S114" s="10"/>
      <c r="T114" s="10">
        <v>0</v>
      </c>
      <c r="U114" s="10">
        <v>0</v>
      </c>
    </row>
    <row r="115" spans="1:21" x14ac:dyDescent="0.35">
      <c r="A115" s="6" t="s">
        <v>149</v>
      </c>
      <c r="B115" s="6" t="s">
        <v>144</v>
      </c>
      <c r="C115" s="6" t="s">
        <v>154</v>
      </c>
      <c r="D115" s="6" t="s">
        <v>153</v>
      </c>
      <c r="E115" s="7">
        <v>4.68</v>
      </c>
      <c r="F115" s="18">
        <v>0.52610000000000001</v>
      </c>
      <c r="G115" s="18">
        <v>0.64890000000000003</v>
      </c>
      <c r="H115" s="13">
        <v>674</v>
      </c>
      <c r="I115" s="13">
        <v>674</v>
      </c>
      <c r="J115" s="7">
        <v>2327567.44</v>
      </c>
      <c r="K115" s="7">
        <v>3453.36</v>
      </c>
      <c r="L115" s="13">
        <v>0</v>
      </c>
      <c r="M115" s="18">
        <v>0</v>
      </c>
      <c r="N115" s="13">
        <v>0</v>
      </c>
      <c r="O115" s="18">
        <v>0</v>
      </c>
      <c r="P115" s="13">
        <v>674</v>
      </c>
      <c r="Q115" s="18">
        <v>1</v>
      </c>
      <c r="R115" s="7"/>
      <c r="S115" s="7"/>
      <c r="T115" s="7">
        <v>0</v>
      </c>
      <c r="U115" s="7">
        <v>0</v>
      </c>
    </row>
    <row r="116" spans="1:21" x14ac:dyDescent="0.35">
      <c r="A116" s="9" t="s">
        <v>146</v>
      </c>
      <c r="B116" s="9" t="s">
        <v>147</v>
      </c>
      <c r="C116" s="9" t="s">
        <v>154</v>
      </c>
      <c r="D116" s="9" t="s">
        <v>153</v>
      </c>
      <c r="E116" s="10">
        <v>4.66</v>
      </c>
      <c r="F116" s="16">
        <v>0.53689999999999993</v>
      </c>
      <c r="G116" s="16">
        <v>0.65200000000000002</v>
      </c>
      <c r="H116" s="12">
        <v>713</v>
      </c>
      <c r="I116" s="12">
        <v>713</v>
      </c>
      <c r="J116" s="10">
        <v>2303230.41</v>
      </c>
      <c r="K116" s="10">
        <v>3230.34</v>
      </c>
      <c r="L116" s="12">
        <v>0</v>
      </c>
      <c r="M116" s="16">
        <v>0</v>
      </c>
      <c r="N116" s="12">
        <v>0</v>
      </c>
      <c r="O116" s="16">
        <v>0</v>
      </c>
      <c r="P116" s="12">
        <v>713</v>
      </c>
      <c r="Q116" s="16">
        <v>1</v>
      </c>
      <c r="R116" s="10"/>
      <c r="S116" s="10"/>
      <c r="T116" s="10">
        <v>0</v>
      </c>
      <c r="U116" s="10">
        <v>0</v>
      </c>
    </row>
    <row r="117" spans="1:21" x14ac:dyDescent="0.35">
      <c r="A117" s="6" t="s">
        <v>146</v>
      </c>
      <c r="B117" s="6" t="s">
        <v>151</v>
      </c>
      <c r="C117" s="6" t="s">
        <v>154</v>
      </c>
      <c r="D117" s="6" t="s">
        <v>142</v>
      </c>
      <c r="E117" s="7">
        <v>9.1999999999999993</v>
      </c>
      <c r="F117" s="18">
        <v>0.99060000000000004</v>
      </c>
      <c r="G117" s="18">
        <v>0.64280000000000004</v>
      </c>
      <c r="H117" s="13">
        <v>629</v>
      </c>
      <c r="I117" s="13">
        <v>629</v>
      </c>
      <c r="J117" s="7">
        <v>2297786.98</v>
      </c>
      <c r="K117" s="7">
        <v>3653.08</v>
      </c>
      <c r="L117" s="13">
        <v>0</v>
      </c>
      <c r="M117" s="18">
        <v>0</v>
      </c>
      <c r="N117" s="13">
        <v>0</v>
      </c>
      <c r="O117" s="18">
        <v>0</v>
      </c>
      <c r="P117" s="13">
        <v>629</v>
      </c>
      <c r="Q117" s="18">
        <v>1</v>
      </c>
      <c r="R117" s="7"/>
      <c r="S117" s="7"/>
      <c r="T117" s="7">
        <v>0</v>
      </c>
      <c r="U117" s="7">
        <v>0</v>
      </c>
    </row>
    <row r="118" spans="1:21" x14ac:dyDescent="0.35">
      <c r="A118" s="9" t="s">
        <v>143</v>
      </c>
      <c r="B118" s="9" t="s">
        <v>151</v>
      </c>
      <c r="C118" s="9" t="s">
        <v>154</v>
      </c>
      <c r="D118" s="9" t="s">
        <v>142</v>
      </c>
      <c r="E118" s="10">
        <v>9.16</v>
      </c>
      <c r="F118" s="16">
        <v>0.99150000000000005</v>
      </c>
      <c r="G118" s="16">
        <v>0.6633</v>
      </c>
      <c r="H118" s="12">
        <v>635</v>
      </c>
      <c r="I118" s="12">
        <v>635</v>
      </c>
      <c r="J118" s="10">
        <v>2283526.25</v>
      </c>
      <c r="K118" s="10">
        <v>3596.1</v>
      </c>
      <c r="L118" s="12">
        <v>0</v>
      </c>
      <c r="M118" s="16">
        <v>0</v>
      </c>
      <c r="N118" s="12">
        <v>0</v>
      </c>
      <c r="O118" s="16">
        <v>0</v>
      </c>
      <c r="P118" s="12">
        <v>635</v>
      </c>
      <c r="Q118" s="16">
        <v>1</v>
      </c>
      <c r="R118" s="10"/>
      <c r="S118" s="10"/>
      <c r="T118" s="10">
        <v>0</v>
      </c>
      <c r="U118" s="10">
        <v>0</v>
      </c>
    </row>
    <row r="119" spans="1:21" x14ac:dyDescent="0.35">
      <c r="A119" s="6" t="s">
        <v>149</v>
      </c>
      <c r="B119" s="6" t="s">
        <v>147</v>
      </c>
      <c r="C119" s="6" t="s">
        <v>154</v>
      </c>
      <c r="D119" s="6" t="s">
        <v>142</v>
      </c>
      <c r="E119" s="7">
        <v>9.24</v>
      </c>
      <c r="F119" s="18">
        <v>0.99019999999999997</v>
      </c>
      <c r="G119" s="18">
        <v>0.65870000000000006</v>
      </c>
      <c r="H119" s="13">
        <v>611</v>
      </c>
      <c r="I119" s="13">
        <v>611</v>
      </c>
      <c r="J119" s="7">
        <v>2261044.0499999998</v>
      </c>
      <c r="K119" s="7">
        <v>3700.56</v>
      </c>
      <c r="L119" s="13">
        <v>0</v>
      </c>
      <c r="M119" s="18">
        <v>0</v>
      </c>
      <c r="N119" s="13">
        <v>0</v>
      </c>
      <c r="O119" s="18">
        <v>0</v>
      </c>
      <c r="P119" s="13">
        <v>611</v>
      </c>
      <c r="Q119" s="18">
        <v>1</v>
      </c>
      <c r="R119" s="7"/>
      <c r="S119" s="7"/>
      <c r="T119" s="7">
        <v>0</v>
      </c>
      <c r="U119" s="7">
        <v>0</v>
      </c>
    </row>
    <row r="120" spans="1:21" x14ac:dyDescent="0.35">
      <c r="A120" s="9" t="s">
        <v>149</v>
      </c>
      <c r="B120" s="9" t="s">
        <v>147</v>
      </c>
      <c r="C120" s="9" t="s">
        <v>154</v>
      </c>
      <c r="D120" s="9" t="s">
        <v>153</v>
      </c>
      <c r="E120" s="10">
        <v>4.75</v>
      </c>
      <c r="F120" s="16">
        <v>0.54149999999999998</v>
      </c>
      <c r="G120" s="16">
        <v>0.64790000000000003</v>
      </c>
      <c r="H120" s="12">
        <v>684</v>
      </c>
      <c r="I120" s="12">
        <v>684</v>
      </c>
      <c r="J120" s="10">
        <v>2232579.5699999998</v>
      </c>
      <c r="K120" s="10">
        <v>3264.01</v>
      </c>
      <c r="L120" s="12">
        <v>0</v>
      </c>
      <c r="M120" s="16">
        <v>0</v>
      </c>
      <c r="N120" s="12">
        <v>0</v>
      </c>
      <c r="O120" s="16">
        <v>0</v>
      </c>
      <c r="P120" s="12">
        <v>684</v>
      </c>
      <c r="Q120" s="16">
        <v>1</v>
      </c>
      <c r="R120" s="10"/>
      <c r="S120" s="10"/>
      <c r="T120" s="10">
        <v>0</v>
      </c>
      <c r="U120" s="10">
        <v>0</v>
      </c>
    </row>
    <row r="121" spans="1:21" x14ac:dyDescent="0.35">
      <c r="A121" s="6" t="s">
        <v>146</v>
      </c>
      <c r="B121" s="6" t="s">
        <v>151</v>
      </c>
      <c r="C121" s="6" t="s">
        <v>154</v>
      </c>
      <c r="D121" s="6" t="s">
        <v>153</v>
      </c>
      <c r="E121" s="7">
        <v>4.6500000000000004</v>
      </c>
      <c r="F121" s="18">
        <v>0.52880000000000005</v>
      </c>
      <c r="G121" s="18">
        <v>0.6462</v>
      </c>
      <c r="H121" s="13">
        <v>670</v>
      </c>
      <c r="I121" s="13">
        <v>670</v>
      </c>
      <c r="J121" s="7">
        <v>2232484.5</v>
      </c>
      <c r="K121" s="7">
        <v>3332.07</v>
      </c>
      <c r="L121" s="13">
        <v>0</v>
      </c>
      <c r="M121" s="18">
        <v>0</v>
      </c>
      <c r="N121" s="13">
        <v>0</v>
      </c>
      <c r="O121" s="18">
        <v>0</v>
      </c>
      <c r="P121" s="13">
        <v>670</v>
      </c>
      <c r="Q121" s="18">
        <v>1</v>
      </c>
      <c r="R121" s="7"/>
      <c r="S121" s="7"/>
      <c r="T121" s="7">
        <v>0</v>
      </c>
      <c r="U121" s="7">
        <v>0</v>
      </c>
    </row>
    <row r="122" spans="1:21" x14ac:dyDescent="0.35">
      <c r="A122" s="9" t="s">
        <v>143</v>
      </c>
      <c r="B122" s="9" t="s">
        <v>144</v>
      </c>
      <c r="C122" s="9" t="s">
        <v>141</v>
      </c>
      <c r="D122" s="9" t="s">
        <v>153</v>
      </c>
      <c r="E122" s="10">
        <v>4.7300000000000004</v>
      </c>
      <c r="F122" s="16">
        <v>0.53200000000000003</v>
      </c>
      <c r="G122" s="16">
        <v>0.64810000000000001</v>
      </c>
      <c r="H122" s="12">
        <v>829</v>
      </c>
      <c r="I122" s="12">
        <v>829</v>
      </c>
      <c r="J122" s="10">
        <v>2228204.61</v>
      </c>
      <c r="K122" s="10">
        <v>2687.82</v>
      </c>
      <c r="L122" s="12">
        <v>0</v>
      </c>
      <c r="M122" s="16">
        <v>0</v>
      </c>
      <c r="N122" s="12">
        <v>829</v>
      </c>
      <c r="O122" s="16">
        <v>1</v>
      </c>
      <c r="P122" s="12">
        <v>0</v>
      </c>
      <c r="Q122" s="16">
        <v>0</v>
      </c>
      <c r="R122" s="10"/>
      <c r="S122" s="10">
        <v>2687.82220747889</v>
      </c>
      <c r="T122" s="10">
        <v>0</v>
      </c>
      <c r="U122" s="10">
        <v>372.04841794129487</v>
      </c>
    </row>
    <row r="123" spans="1:21" x14ac:dyDescent="0.35">
      <c r="A123" s="6" t="s">
        <v>149</v>
      </c>
      <c r="B123" s="6" t="s">
        <v>148</v>
      </c>
      <c r="C123" s="6" t="s">
        <v>154</v>
      </c>
      <c r="D123" s="6" t="s">
        <v>153</v>
      </c>
      <c r="E123" s="7">
        <v>4.67</v>
      </c>
      <c r="F123" s="18">
        <v>0.52469999999999994</v>
      </c>
      <c r="G123" s="18">
        <v>0.65439999999999998</v>
      </c>
      <c r="H123" s="13">
        <v>725</v>
      </c>
      <c r="I123" s="13">
        <v>725</v>
      </c>
      <c r="J123" s="7">
        <v>2228139.09</v>
      </c>
      <c r="K123" s="7">
        <v>3073.3</v>
      </c>
      <c r="L123" s="13">
        <v>0</v>
      </c>
      <c r="M123" s="18">
        <v>0</v>
      </c>
      <c r="N123" s="13">
        <v>0</v>
      </c>
      <c r="O123" s="18">
        <v>0</v>
      </c>
      <c r="P123" s="13">
        <v>725</v>
      </c>
      <c r="Q123" s="18">
        <v>1</v>
      </c>
      <c r="R123" s="7"/>
      <c r="S123" s="7"/>
      <c r="T123" s="7">
        <v>0</v>
      </c>
      <c r="U123" s="7">
        <v>0</v>
      </c>
    </row>
    <row r="124" spans="1:21" x14ac:dyDescent="0.35">
      <c r="A124" s="9" t="s">
        <v>150</v>
      </c>
      <c r="B124" s="9" t="s">
        <v>145</v>
      </c>
      <c r="C124" s="9" t="s">
        <v>154</v>
      </c>
      <c r="D124" s="9" t="s">
        <v>142</v>
      </c>
      <c r="E124" s="10">
        <v>9.18</v>
      </c>
      <c r="F124" s="16">
        <v>0.9890000000000001</v>
      </c>
      <c r="G124" s="16">
        <v>0.63919999999999999</v>
      </c>
      <c r="H124" s="12">
        <v>652</v>
      </c>
      <c r="I124" s="12">
        <v>652</v>
      </c>
      <c r="J124" s="10">
        <v>2213558.2200000002</v>
      </c>
      <c r="K124" s="10">
        <v>3395.03</v>
      </c>
      <c r="L124" s="12">
        <v>0</v>
      </c>
      <c r="M124" s="16">
        <v>0</v>
      </c>
      <c r="N124" s="12">
        <v>0</v>
      </c>
      <c r="O124" s="16">
        <v>0</v>
      </c>
      <c r="P124" s="12">
        <v>652</v>
      </c>
      <c r="Q124" s="16">
        <v>1</v>
      </c>
      <c r="R124" s="10"/>
      <c r="S124" s="10"/>
      <c r="T124" s="10">
        <v>0</v>
      </c>
      <c r="U124" s="10">
        <v>0</v>
      </c>
    </row>
    <row r="125" spans="1:21" x14ac:dyDescent="0.35">
      <c r="A125" s="6" t="s">
        <v>139</v>
      </c>
      <c r="B125" s="6" t="s">
        <v>140</v>
      </c>
      <c r="C125" s="6" t="s">
        <v>154</v>
      </c>
      <c r="D125" s="6" t="s">
        <v>153</v>
      </c>
      <c r="E125" s="7">
        <v>4.6100000000000003</v>
      </c>
      <c r="F125" s="18">
        <v>0.52329999999999999</v>
      </c>
      <c r="G125" s="18">
        <v>0.65010000000000001</v>
      </c>
      <c r="H125" s="13">
        <v>699</v>
      </c>
      <c r="I125" s="13">
        <v>699</v>
      </c>
      <c r="J125" s="7">
        <v>2195874.8199999998</v>
      </c>
      <c r="K125" s="7">
        <v>3141.45</v>
      </c>
      <c r="L125" s="13">
        <v>0</v>
      </c>
      <c r="M125" s="18">
        <v>0</v>
      </c>
      <c r="N125" s="13">
        <v>0</v>
      </c>
      <c r="O125" s="18">
        <v>0</v>
      </c>
      <c r="P125" s="13">
        <v>699</v>
      </c>
      <c r="Q125" s="18">
        <v>1</v>
      </c>
      <c r="R125" s="7"/>
      <c r="S125" s="7"/>
      <c r="T125" s="7">
        <v>0</v>
      </c>
      <c r="U125" s="7">
        <v>0</v>
      </c>
    </row>
    <row r="126" spans="1:21" x14ac:dyDescent="0.35">
      <c r="A126" s="9" t="s">
        <v>143</v>
      </c>
      <c r="B126" s="9" t="s">
        <v>140</v>
      </c>
      <c r="C126" s="9" t="s">
        <v>154</v>
      </c>
      <c r="D126" s="9" t="s">
        <v>153</v>
      </c>
      <c r="E126" s="10">
        <v>4.6399999999999997</v>
      </c>
      <c r="F126" s="16">
        <v>0.52270000000000005</v>
      </c>
      <c r="G126" s="16">
        <v>0.64659999999999995</v>
      </c>
      <c r="H126" s="12">
        <v>683</v>
      </c>
      <c r="I126" s="12">
        <v>683</v>
      </c>
      <c r="J126" s="10">
        <v>2189858.84</v>
      </c>
      <c r="K126" s="10">
        <v>3206.24</v>
      </c>
      <c r="L126" s="12">
        <v>0</v>
      </c>
      <c r="M126" s="16">
        <v>0</v>
      </c>
      <c r="N126" s="12">
        <v>0</v>
      </c>
      <c r="O126" s="16">
        <v>0</v>
      </c>
      <c r="P126" s="12">
        <v>683</v>
      </c>
      <c r="Q126" s="16">
        <v>1</v>
      </c>
      <c r="R126" s="10"/>
      <c r="S126" s="10"/>
      <c r="T126" s="10">
        <v>0</v>
      </c>
      <c r="U126" s="10">
        <v>0</v>
      </c>
    </row>
    <row r="127" spans="1:21" x14ac:dyDescent="0.35">
      <c r="A127" s="6" t="s">
        <v>139</v>
      </c>
      <c r="B127" s="6" t="s">
        <v>151</v>
      </c>
      <c r="C127" s="6" t="s">
        <v>154</v>
      </c>
      <c r="D127" s="6" t="s">
        <v>153</v>
      </c>
      <c r="E127" s="7">
        <v>4.66</v>
      </c>
      <c r="F127" s="18">
        <v>0.53339999999999999</v>
      </c>
      <c r="G127" s="18">
        <v>0.64890000000000003</v>
      </c>
      <c r="H127" s="13">
        <v>649</v>
      </c>
      <c r="I127" s="13">
        <v>649</v>
      </c>
      <c r="J127" s="7">
        <v>2189469.38</v>
      </c>
      <c r="K127" s="7">
        <v>3373.6</v>
      </c>
      <c r="L127" s="13">
        <v>0</v>
      </c>
      <c r="M127" s="18">
        <v>0</v>
      </c>
      <c r="N127" s="13">
        <v>0</v>
      </c>
      <c r="O127" s="18">
        <v>0</v>
      </c>
      <c r="P127" s="13">
        <v>649</v>
      </c>
      <c r="Q127" s="18">
        <v>1</v>
      </c>
      <c r="R127" s="7"/>
      <c r="S127" s="7"/>
      <c r="T127" s="7">
        <v>0</v>
      </c>
      <c r="U127" s="7">
        <v>0</v>
      </c>
    </row>
    <row r="128" spans="1:21" x14ac:dyDescent="0.35">
      <c r="A128" s="9" t="s">
        <v>143</v>
      </c>
      <c r="B128" s="9" t="s">
        <v>147</v>
      </c>
      <c r="C128" s="9" t="s">
        <v>141</v>
      </c>
      <c r="D128" s="9" t="s">
        <v>153</v>
      </c>
      <c r="E128" s="10">
        <v>4.6900000000000004</v>
      </c>
      <c r="F128" s="16">
        <v>0.52600000000000002</v>
      </c>
      <c r="G128" s="16">
        <v>0.65139999999999998</v>
      </c>
      <c r="H128" s="12">
        <v>821</v>
      </c>
      <c r="I128" s="12">
        <v>821</v>
      </c>
      <c r="J128" s="10">
        <v>2176312.2599999998</v>
      </c>
      <c r="K128" s="10">
        <v>2650.81</v>
      </c>
      <c r="L128" s="12">
        <v>0</v>
      </c>
      <c r="M128" s="16">
        <v>0</v>
      </c>
      <c r="N128" s="12">
        <v>821</v>
      </c>
      <c r="O128" s="16">
        <v>1</v>
      </c>
      <c r="P128" s="12">
        <v>0</v>
      </c>
      <c r="Q128" s="16">
        <v>0</v>
      </c>
      <c r="R128" s="10"/>
      <c r="S128" s="10">
        <v>2650.8066504263088</v>
      </c>
      <c r="T128" s="10">
        <v>0</v>
      </c>
      <c r="U128" s="10">
        <v>377.24365895912382</v>
      </c>
    </row>
    <row r="129" spans="1:21" x14ac:dyDescent="0.35">
      <c r="A129" s="6" t="s">
        <v>149</v>
      </c>
      <c r="B129" s="6" t="s">
        <v>145</v>
      </c>
      <c r="C129" s="6" t="s">
        <v>154</v>
      </c>
      <c r="D129" s="6" t="s">
        <v>142</v>
      </c>
      <c r="E129" s="7">
        <v>9.19</v>
      </c>
      <c r="F129" s="18">
        <v>0.99019999999999997</v>
      </c>
      <c r="G129" s="18">
        <v>0.64489999999999992</v>
      </c>
      <c r="H129" s="13">
        <v>602</v>
      </c>
      <c r="I129" s="13">
        <v>602</v>
      </c>
      <c r="J129" s="7">
        <v>2172464.7999999998</v>
      </c>
      <c r="K129" s="7">
        <v>3608.75</v>
      </c>
      <c r="L129" s="13">
        <v>0</v>
      </c>
      <c r="M129" s="18">
        <v>0</v>
      </c>
      <c r="N129" s="13">
        <v>0</v>
      </c>
      <c r="O129" s="18">
        <v>0</v>
      </c>
      <c r="P129" s="13">
        <v>602</v>
      </c>
      <c r="Q129" s="18">
        <v>1</v>
      </c>
      <c r="R129" s="7"/>
      <c r="S129" s="7"/>
      <c r="T129" s="7">
        <v>0</v>
      </c>
      <c r="U129" s="7">
        <v>0</v>
      </c>
    </row>
    <row r="130" spans="1:21" x14ac:dyDescent="0.35">
      <c r="A130" s="9" t="s">
        <v>139</v>
      </c>
      <c r="B130" s="9" t="s">
        <v>145</v>
      </c>
      <c r="C130" s="9" t="s">
        <v>154</v>
      </c>
      <c r="D130" s="9" t="s">
        <v>142</v>
      </c>
      <c r="E130" s="10">
        <v>9.1199999999999992</v>
      </c>
      <c r="F130" s="16">
        <v>0.99150000000000005</v>
      </c>
      <c r="G130" s="16">
        <v>0.6409999999999999</v>
      </c>
      <c r="H130" s="12">
        <v>605</v>
      </c>
      <c r="I130" s="12">
        <v>605</v>
      </c>
      <c r="J130" s="10">
        <v>2160966.41</v>
      </c>
      <c r="K130" s="10">
        <v>3571.85</v>
      </c>
      <c r="L130" s="12">
        <v>0</v>
      </c>
      <c r="M130" s="16">
        <v>0</v>
      </c>
      <c r="N130" s="12">
        <v>0</v>
      </c>
      <c r="O130" s="16">
        <v>0</v>
      </c>
      <c r="P130" s="12">
        <v>605</v>
      </c>
      <c r="Q130" s="16">
        <v>1</v>
      </c>
      <c r="R130" s="10"/>
      <c r="S130" s="10"/>
      <c r="T130" s="10">
        <v>0</v>
      </c>
      <c r="U130" s="10">
        <v>0</v>
      </c>
    </row>
    <row r="131" spans="1:21" x14ac:dyDescent="0.35">
      <c r="A131" s="6" t="s">
        <v>143</v>
      </c>
      <c r="B131" s="6" t="s">
        <v>144</v>
      </c>
      <c r="C131" s="6" t="s">
        <v>154</v>
      </c>
      <c r="D131" s="6" t="s">
        <v>153</v>
      </c>
      <c r="E131" s="7">
        <v>4.6900000000000004</v>
      </c>
      <c r="F131" s="18">
        <v>0.53010000000000002</v>
      </c>
      <c r="G131" s="18">
        <v>0.65680000000000005</v>
      </c>
      <c r="H131" s="13">
        <v>675</v>
      </c>
      <c r="I131" s="13">
        <v>675</v>
      </c>
      <c r="J131" s="7">
        <v>2159185.9300000002</v>
      </c>
      <c r="K131" s="7">
        <v>3198.79</v>
      </c>
      <c r="L131" s="13">
        <v>0</v>
      </c>
      <c r="M131" s="18">
        <v>0</v>
      </c>
      <c r="N131" s="13">
        <v>0</v>
      </c>
      <c r="O131" s="18">
        <v>0</v>
      </c>
      <c r="P131" s="13">
        <v>675</v>
      </c>
      <c r="Q131" s="18">
        <v>1</v>
      </c>
      <c r="R131" s="7"/>
      <c r="S131" s="7"/>
      <c r="T131" s="7">
        <v>0</v>
      </c>
      <c r="U131" s="7">
        <v>0</v>
      </c>
    </row>
    <row r="132" spans="1:21" x14ac:dyDescent="0.35">
      <c r="A132" s="9" t="s">
        <v>143</v>
      </c>
      <c r="B132" s="9" t="s">
        <v>145</v>
      </c>
      <c r="C132" s="9" t="s">
        <v>154</v>
      </c>
      <c r="D132" s="9" t="s">
        <v>153</v>
      </c>
      <c r="E132" s="10">
        <v>4.7300000000000004</v>
      </c>
      <c r="F132" s="16">
        <v>0.54749999999999999</v>
      </c>
      <c r="G132" s="16">
        <v>0.65390000000000004</v>
      </c>
      <c r="H132" s="12">
        <v>696</v>
      </c>
      <c r="I132" s="12">
        <v>696</v>
      </c>
      <c r="J132" s="10">
        <v>2139947.4300000002</v>
      </c>
      <c r="K132" s="10">
        <v>3074.64</v>
      </c>
      <c r="L132" s="12">
        <v>0</v>
      </c>
      <c r="M132" s="16">
        <v>0</v>
      </c>
      <c r="N132" s="12">
        <v>0</v>
      </c>
      <c r="O132" s="16">
        <v>0</v>
      </c>
      <c r="P132" s="12">
        <v>696</v>
      </c>
      <c r="Q132" s="16">
        <v>1</v>
      </c>
      <c r="R132" s="10"/>
      <c r="S132" s="10"/>
      <c r="T132" s="10">
        <v>0</v>
      </c>
      <c r="U132" s="10">
        <v>0</v>
      </c>
    </row>
    <row r="133" spans="1:21" x14ac:dyDescent="0.35">
      <c r="A133" s="6" t="s">
        <v>139</v>
      </c>
      <c r="B133" s="6" t="s">
        <v>151</v>
      </c>
      <c r="C133" s="6" t="s">
        <v>154</v>
      </c>
      <c r="D133" s="6" t="s">
        <v>142</v>
      </c>
      <c r="E133" s="7">
        <v>9.19</v>
      </c>
      <c r="F133" s="18">
        <v>0.99230000000000007</v>
      </c>
      <c r="G133" s="18">
        <v>0.65310000000000001</v>
      </c>
      <c r="H133" s="13">
        <v>638</v>
      </c>
      <c r="I133" s="13">
        <v>638</v>
      </c>
      <c r="J133" s="7">
        <v>2134965.91</v>
      </c>
      <c r="K133" s="7">
        <v>3346.34</v>
      </c>
      <c r="L133" s="13">
        <v>0</v>
      </c>
      <c r="M133" s="18">
        <v>0</v>
      </c>
      <c r="N133" s="13">
        <v>0</v>
      </c>
      <c r="O133" s="18">
        <v>0</v>
      </c>
      <c r="P133" s="13">
        <v>638</v>
      </c>
      <c r="Q133" s="18">
        <v>1</v>
      </c>
      <c r="R133" s="7"/>
      <c r="S133" s="7"/>
      <c r="T133" s="7">
        <v>0</v>
      </c>
      <c r="U133" s="7">
        <v>0</v>
      </c>
    </row>
    <row r="134" spans="1:21" x14ac:dyDescent="0.35">
      <c r="A134" s="9" t="s">
        <v>150</v>
      </c>
      <c r="B134" s="9" t="s">
        <v>151</v>
      </c>
      <c r="C134" s="9" t="s">
        <v>154</v>
      </c>
      <c r="D134" s="9" t="s">
        <v>142</v>
      </c>
      <c r="E134" s="10">
        <v>9.15</v>
      </c>
      <c r="F134" s="16">
        <v>0.99349999999999994</v>
      </c>
      <c r="G134" s="16">
        <v>0.65269999999999995</v>
      </c>
      <c r="H134" s="12">
        <v>596</v>
      </c>
      <c r="I134" s="12">
        <v>596</v>
      </c>
      <c r="J134" s="10">
        <v>2089747.91</v>
      </c>
      <c r="K134" s="10">
        <v>3506.29</v>
      </c>
      <c r="L134" s="12">
        <v>0</v>
      </c>
      <c r="M134" s="16">
        <v>0</v>
      </c>
      <c r="N134" s="12">
        <v>0</v>
      </c>
      <c r="O134" s="16">
        <v>0</v>
      </c>
      <c r="P134" s="12">
        <v>596</v>
      </c>
      <c r="Q134" s="16">
        <v>1</v>
      </c>
      <c r="R134" s="10"/>
      <c r="S134" s="10"/>
      <c r="T134" s="10">
        <v>0</v>
      </c>
      <c r="U134" s="10">
        <v>0</v>
      </c>
    </row>
    <row r="135" spans="1:21" x14ac:dyDescent="0.35">
      <c r="A135" s="6" t="s">
        <v>143</v>
      </c>
      <c r="B135" s="6" t="s">
        <v>148</v>
      </c>
      <c r="C135" s="6" t="s">
        <v>154</v>
      </c>
      <c r="D135" s="6" t="s">
        <v>153</v>
      </c>
      <c r="E135" s="7">
        <v>4.67</v>
      </c>
      <c r="F135" s="18">
        <v>0.53060000000000007</v>
      </c>
      <c r="G135" s="18">
        <v>0.65489999999999993</v>
      </c>
      <c r="H135" s="13">
        <v>689</v>
      </c>
      <c r="I135" s="13">
        <v>689</v>
      </c>
      <c r="J135" s="7">
        <v>2089064.76</v>
      </c>
      <c r="K135" s="7">
        <v>3032.02</v>
      </c>
      <c r="L135" s="13">
        <v>0</v>
      </c>
      <c r="M135" s="18">
        <v>0</v>
      </c>
      <c r="N135" s="13">
        <v>0</v>
      </c>
      <c r="O135" s="18">
        <v>0</v>
      </c>
      <c r="P135" s="13">
        <v>689</v>
      </c>
      <c r="Q135" s="18">
        <v>1</v>
      </c>
      <c r="R135" s="7"/>
      <c r="S135" s="7"/>
      <c r="T135" s="7">
        <v>0</v>
      </c>
      <c r="U135" s="7">
        <v>0</v>
      </c>
    </row>
    <row r="136" spans="1:21" x14ac:dyDescent="0.35">
      <c r="A136" s="9" t="s">
        <v>150</v>
      </c>
      <c r="B136" s="9" t="s">
        <v>151</v>
      </c>
      <c r="C136" s="9" t="s">
        <v>154</v>
      </c>
      <c r="D136" s="9" t="s">
        <v>153</v>
      </c>
      <c r="E136" s="10">
        <v>4.63</v>
      </c>
      <c r="F136" s="16">
        <v>0.52570000000000006</v>
      </c>
      <c r="G136" s="16">
        <v>0.64670000000000005</v>
      </c>
      <c r="H136" s="12">
        <v>679</v>
      </c>
      <c r="I136" s="12">
        <v>679</v>
      </c>
      <c r="J136" s="10">
        <v>2079014.34</v>
      </c>
      <c r="K136" s="10">
        <v>3061.88</v>
      </c>
      <c r="L136" s="12">
        <v>0</v>
      </c>
      <c r="M136" s="16">
        <v>0</v>
      </c>
      <c r="N136" s="12">
        <v>0</v>
      </c>
      <c r="O136" s="16">
        <v>0</v>
      </c>
      <c r="P136" s="12">
        <v>679</v>
      </c>
      <c r="Q136" s="16">
        <v>1</v>
      </c>
      <c r="R136" s="10"/>
      <c r="S136" s="10"/>
      <c r="T136" s="10">
        <v>0</v>
      </c>
      <c r="U136" s="10">
        <v>0</v>
      </c>
    </row>
    <row r="137" spans="1:21" x14ac:dyDescent="0.35">
      <c r="A137" s="6" t="s">
        <v>150</v>
      </c>
      <c r="B137" s="6" t="s">
        <v>144</v>
      </c>
      <c r="C137" s="6" t="s">
        <v>154</v>
      </c>
      <c r="D137" s="6" t="s">
        <v>142</v>
      </c>
      <c r="E137" s="7">
        <v>9</v>
      </c>
      <c r="F137" s="18">
        <v>0.98950000000000005</v>
      </c>
      <c r="G137" s="18">
        <v>0.65049999999999997</v>
      </c>
      <c r="H137" s="13">
        <v>629</v>
      </c>
      <c r="I137" s="13">
        <v>629</v>
      </c>
      <c r="J137" s="7">
        <v>2072097.14</v>
      </c>
      <c r="K137" s="7">
        <v>3294.27</v>
      </c>
      <c r="L137" s="13">
        <v>0</v>
      </c>
      <c r="M137" s="18">
        <v>0</v>
      </c>
      <c r="N137" s="13">
        <v>0</v>
      </c>
      <c r="O137" s="18">
        <v>0</v>
      </c>
      <c r="P137" s="13">
        <v>629</v>
      </c>
      <c r="Q137" s="18">
        <v>1</v>
      </c>
      <c r="R137" s="7"/>
      <c r="S137" s="7"/>
      <c r="T137" s="7">
        <v>0</v>
      </c>
      <c r="U137" s="7">
        <v>0</v>
      </c>
    </row>
    <row r="138" spans="1:21" x14ac:dyDescent="0.35">
      <c r="A138" s="9" t="s">
        <v>139</v>
      </c>
      <c r="B138" s="9" t="s">
        <v>140</v>
      </c>
      <c r="C138" s="9" t="s">
        <v>154</v>
      </c>
      <c r="D138" s="9" t="s">
        <v>142</v>
      </c>
      <c r="E138" s="10">
        <v>9.09</v>
      </c>
      <c r="F138" s="16">
        <v>0.98909999999999998</v>
      </c>
      <c r="G138" s="16">
        <v>0.64780000000000004</v>
      </c>
      <c r="H138" s="12">
        <v>605</v>
      </c>
      <c r="I138" s="12">
        <v>605</v>
      </c>
      <c r="J138" s="10">
        <v>2065459.02</v>
      </c>
      <c r="K138" s="10">
        <v>3413.98</v>
      </c>
      <c r="L138" s="12">
        <v>0</v>
      </c>
      <c r="M138" s="16">
        <v>0</v>
      </c>
      <c r="N138" s="12">
        <v>0</v>
      </c>
      <c r="O138" s="16">
        <v>0</v>
      </c>
      <c r="P138" s="12">
        <v>605</v>
      </c>
      <c r="Q138" s="16">
        <v>1</v>
      </c>
      <c r="R138" s="10"/>
      <c r="S138" s="10"/>
      <c r="T138" s="10">
        <v>0</v>
      </c>
      <c r="U138" s="10">
        <v>0</v>
      </c>
    </row>
    <row r="139" spans="1:21" x14ac:dyDescent="0.35">
      <c r="A139" s="6" t="s">
        <v>150</v>
      </c>
      <c r="B139" s="6" t="s">
        <v>147</v>
      </c>
      <c r="C139" s="6" t="s">
        <v>155</v>
      </c>
      <c r="D139" s="6" t="s">
        <v>153</v>
      </c>
      <c r="E139" s="7">
        <v>4.59</v>
      </c>
      <c r="F139" s="18">
        <v>0.5101</v>
      </c>
      <c r="G139" s="18">
        <v>0.65569999999999995</v>
      </c>
      <c r="H139" s="13">
        <v>496</v>
      </c>
      <c r="I139" s="13">
        <v>496</v>
      </c>
      <c r="J139" s="7">
        <v>2063974.17</v>
      </c>
      <c r="K139" s="7">
        <v>4161.24</v>
      </c>
      <c r="L139" s="13">
        <v>0</v>
      </c>
      <c r="M139" s="18">
        <v>0</v>
      </c>
      <c r="N139" s="13">
        <v>0</v>
      </c>
      <c r="O139" s="18">
        <v>0</v>
      </c>
      <c r="P139" s="13">
        <v>496</v>
      </c>
      <c r="Q139" s="18">
        <v>1</v>
      </c>
      <c r="R139" s="7"/>
      <c r="S139" s="7"/>
      <c r="T139" s="7">
        <v>0</v>
      </c>
      <c r="U139" s="7">
        <v>0</v>
      </c>
    </row>
    <row r="140" spans="1:21" x14ac:dyDescent="0.35">
      <c r="A140" s="9" t="s">
        <v>149</v>
      </c>
      <c r="B140" s="9" t="s">
        <v>140</v>
      </c>
      <c r="C140" s="9" t="s">
        <v>154</v>
      </c>
      <c r="D140" s="9" t="s">
        <v>153</v>
      </c>
      <c r="E140" s="10">
        <v>4.72</v>
      </c>
      <c r="F140" s="16">
        <v>0.53639999999999999</v>
      </c>
      <c r="G140" s="16">
        <v>0.64500000000000002</v>
      </c>
      <c r="H140" s="12">
        <v>666</v>
      </c>
      <c r="I140" s="12">
        <v>666</v>
      </c>
      <c r="J140" s="10">
        <v>2058210.67</v>
      </c>
      <c r="K140" s="10">
        <v>3090.41</v>
      </c>
      <c r="L140" s="12">
        <v>0</v>
      </c>
      <c r="M140" s="16">
        <v>0</v>
      </c>
      <c r="N140" s="12">
        <v>0</v>
      </c>
      <c r="O140" s="16">
        <v>0</v>
      </c>
      <c r="P140" s="12">
        <v>666</v>
      </c>
      <c r="Q140" s="16">
        <v>1</v>
      </c>
      <c r="R140" s="10"/>
      <c r="S140" s="10"/>
      <c r="T140" s="10">
        <v>0</v>
      </c>
      <c r="U140" s="10">
        <v>0</v>
      </c>
    </row>
    <row r="141" spans="1:21" x14ac:dyDescent="0.35">
      <c r="A141" s="6" t="s">
        <v>150</v>
      </c>
      <c r="B141" s="6" t="s">
        <v>151</v>
      </c>
      <c r="C141" s="6" t="s">
        <v>155</v>
      </c>
      <c r="D141" s="6" t="s">
        <v>153</v>
      </c>
      <c r="E141" s="7">
        <v>4.66</v>
      </c>
      <c r="F141" s="18">
        <v>0.54210000000000003</v>
      </c>
      <c r="G141" s="18">
        <v>0.64829999999999999</v>
      </c>
      <c r="H141" s="13">
        <v>528</v>
      </c>
      <c r="I141" s="13">
        <v>528</v>
      </c>
      <c r="J141" s="7">
        <v>2052385</v>
      </c>
      <c r="K141" s="7">
        <v>3887.09</v>
      </c>
      <c r="L141" s="13">
        <v>0</v>
      </c>
      <c r="M141" s="18">
        <v>0</v>
      </c>
      <c r="N141" s="13">
        <v>0</v>
      </c>
      <c r="O141" s="18">
        <v>0</v>
      </c>
      <c r="P141" s="13">
        <v>528</v>
      </c>
      <c r="Q141" s="18">
        <v>1</v>
      </c>
      <c r="R141" s="7"/>
      <c r="S141" s="7"/>
      <c r="T141" s="7">
        <v>0</v>
      </c>
      <c r="U141" s="7">
        <v>0</v>
      </c>
    </row>
    <row r="142" spans="1:21" x14ac:dyDescent="0.35">
      <c r="A142" s="9" t="s">
        <v>149</v>
      </c>
      <c r="B142" s="9" t="s">
        <v>151</v>
      </c>
      <c r="C142" s="9" t="s">
        <v>154</v>
      </c>
      <c r="D142" s="9" t="s">
        <v>142</v>
      </c>
      <c r="E142" s="10">
        <v>9.24</v>
      </c>
      <c r="F142" s="16">
        <v>0.99099999999999999</v>
      </c>
      <c r="G142" s="16">
        <v>0.64829999999999999</v>
      </c>
      <c r="H142" s="12">
        <v>594</v>
      </c>
      <c r="I142" s="12">
        <v>594</v>
      </c>
      <c r="J142" s="10">
        <v>2037105.79</v>
      </c>
      <c r="K142" s="10">
        <v>3429.47</v>
      </c>
      <c r="L142" s="12">
        <v>0</v>
      </c>
      <c r="M142" s="16">
        <v>0</v>
      </c>
      <c r="N142" s="12">
        <v>0</v>
      </c>
      <c r="O142" s="16">
        <v>0</v>
      </c>
      <c r="P142" s="12">
        <v>594</v>
      </c>
      <c r="Q142" s="16">
        <v>1</v>
      </c>
      <c r="R142" s="10"/>
      <c r="S142" s="10"/>
      <c r="T142" s="10">
        <v>0</v>
      </c>
      <c r="U142" s="10">
        <v>0</v>
      </c>
    </row>
    <row r="143" spans="1:21" x14ac:dyDescent="0.35">
      <c r="A143" s="6" t="s">
        <v>146</v>
      </c>
      <c r="B143" s="6" t="s">
        <v>145</v>
      </c>
      <c r="C143" s="6" t="s">
        <v>154</v>
      </c>
      <c r="D143" s="6" t="s">
        <v>142</v>
      </c>
      <c r="E143" s="7">
        <v>9.31</v>
      </c>
      <c r="F143" s="18">
        <v>0.99219999999999997</v>
      </c>
      <c r="G143" s="18">
        <v>0.6472</v>
      </c>
      <c r="H143" s="13">
        <v>626</v>
      </c>
      <c r="I143" s="13">
        <v>626</v>
      </c>
      <c r="J143" s="7">
        <v>1979304.04</v>
      </c>
      <c r="K143" s="7">
        <v>3161.83</v>
      </c>
      <c r="L143" s="13">
        <v>0</v>
      </c>
      <c r="M143" s="18">
        <v>0</v>
      </c>
      <c r="N143" s="13">
        <v>0</v>
      </c>
      <c r="O143" s="18">
        <v>0</v>
      </c>
      <c r="P143" s="13">
        <v>626</v>
      </c>
      <c r="Q143" s="18">
        <v>1</v>
      </c>
      <c r="R143" s="7"/>
      <c r="S143" s="7"/>
      <c r="T143" s="7">
        <v>0</v>
      </c>
      <c r="U143" s="7">
        <v>0</v>
      </c>
    </row>
    <row r="144" spans="1:21" x14ac:dyDescent="0.35">
      <c r="A144" s="9" t="s">
        <v>146</v>
      </c>
      <c r="B144" s="9" t="s">
        <v>148</v>
      </c>
      <c r="C144" s="9" t="s">
        <v>154</v>
      </c>
      <c r="D144" s="9" t="s">
        <v>153</v>
      </c>
      <c r="E144" s="10">
        <v>4.68</v>
      </c>
      <c r="F144" s="16">
        <v>0.54600000000000004</v>
      </c>
      <c r="G144" s="16">
        <v>0.64159999999999995</v>
      </c>
      <c r="H144" s="12">
        <v>684</v>
      </c>
      <c r="I144" s="12">
        <v>684</v>
      </c>
      <c r="J144" s="10">
        <v>1968491.15</v>
      </c>
      <c r="K144" s="10">
        <v>2877.91</v>
      </c>
      <c r="L144" s="12">
        <v>0</v>
      </c>
      <c r="M144" s="16">
        <v>0</v>
      </c>
      <c r="N144" s="12">
        <v>0</v>
      </c>
      <c r="O144" s="16">
        <v>0</v>
      </c>
      <c r="P144" s="12">
        <v>684</v>
      </c>
      <c r="Q144" s="16">
        <v>1</v>
      </c>
      <c r="R144" s="10"/>
      <c r="S144" s="10"/>
      <c r="T144" s="10">
        <v>0</v>
      </c>
      <c r="U144" s="10">
        <v>0</v>
      </c>
    </row>
    <row r="145" spans="1:21" x14ac:dyDescent="0.35">
      <c r="A145" s="6" t="s">
        <v>146</v>
      </c>
      <c r="B145" s="6" t="s">
        <v>148</v>
      </c>
      <c r="C145" s="6" t="s">
        <v>155</v>
      </c>
      <c r="D145" s="6" t="s">
        <v>153</v>
      </c>
      <c r="E145" s="7">
        <v>4.7</v>
      </c>
      <c r="F145" s="18">
        <v>0.53420000000000001</v>
      </c>
      <c r="G145" s="18">
        <v>0.64450000000000007</v>
      </c>
      <c r="H145" s="13">
        <v>503</v>
      </c>
      <c r="I145" s="13">
        <v>503</v>
      </c>
      <c r="J145" s="7">
        <v>1956505.86</v>
      </c>
      <c r="K145" s="7">
        <v>3889.67</v>
      </c>
      <c r="L145" s="13">
        <v>0</v>
      </c>
      <c r="M145" s="18">
        <v>0</v>
      </c>
      <c r="N145" s="13">
        <v>0</v>
      </c>
      <c r="O145" s="18">
        <v>0</v>
      </c>
      <c r="P145" s="13">
        <v>503</v>
      </c>
      <c r="Q145" s="18">
        <v>1</v>
      </c>
      <c r="R145" s="7"/>
      <c r="S145" s="7"/>
      <c r="T145" s="7">
        <v>0</v>
      </c>
      <c r="U145" s="7">
        <v>0</v>
      </c>
    </row>
    <row r="146" spans="1:21" x14ac:dyDescent="0.35">
      <c r="A146" s="9" t="s">
        <v>146</v>
      </c>
      <c r="B146" s="9" t="s">
        <v>140</v>
      </c>
      <c r="C146" s="9" t="s">
        <v>154</v>
      </c>
      <c r="D146" s="9" t="s">
        <v>153</v>
      </c>
      <c r="E146" s="10">
        <v>4.66</v>
      </c>
      <c r="F146" s="16">
        <v>0.51979999999999993</v>
      </c>
      <c r="G146" s="16">
        <v>0.64659999999999995</v>
      </c>
      <c r="H146" s="12">
        <v>680</v>
      </c>
      <c r="I146" s="12">
        <v>680</v>
      </c>
      <c r="J146" s="10">
        <v>1946164.54</v>
      </c>
      <c r="K146" s="10">
        <v>2862.01</v>
      </c>
      <c r="L146" s="12">
        <v>0</v>
      </c>
      <c r="M146" s="16">
        <v>0</v>
      </c>
      <c r="N146" s="12">
        <v>0</v>
      </c>
      <c r="O146" s="16">
        <v>0</v>
      </c>
      <c r="P146" s="12">
        <v>680</v>
      </c>
      <c r="Q146" s="16">
        <v>1</v>
      </c>
      <c r="R146" s="10"/>
      <c r="S146" s="10"/>
      <c r="T146" s="10">
        <v>0</v>
      </c>
      <c r="U146" s="10">
        <v>0</v>
      </c>
    </row>
    <row r="147" spans="1:21" x14ac:dyDescent="0.35">
      <c r="A147" s="6" t="s">
        <v>146</v>
      </c>
      <c r="B147" s="6" t="s">
        <v>145</v>
      </c>
      <c r="C147" s="6" t="s">
        <v>155</v>
      </c>
      <c r="D147" s="6" t="s">
        <v>153</v>
      </c>
      <c r="E147" s="7">
        <v>4.7</v>
      </c>
      <c r="F147" s="18">
        <v>0.55049999999999999</v>
      </c>
      <c r="G147" s="18">
        <v>0.65159999999999996</v>
      </c>
      <c r="H147" s="13">
        <v>517</v>
      </c>
      <c r="I147" s="13">
        <v>517</v>
      </c>
      <c r="J147" s="7">
        <v>1940109.71</v>
      </c>
      <c r="K147" s="7">
        <v>3752.63</v>
      </c>
      <c r="L147" s="13">
        <v>0</v>
      </c>
      <c r="M147" s="18">
        <v>0</v>
      </c>
      <c r="N147" s="13">
        <v>0</v>
      </c>
      <c r="O147" s="18">
        <v>0</v>
      </c>
      <c r="P147" s="13">
        <v>517</v>
      </c>
      <c r="Q147" s="18">
        <v>1</v>
      </c>
      <c r="R147" s="7"/>
      <c r="S147" s="7"/>
      <c r="T147" s="7">
        <v>0</v>
      </c>
      <c r="U147" s="7">
        <v>0</v>
      </c>
    </row>
    <row r="148" spans="1:21" x14ac:dyDescent="0.35">
      <c r="A148" s="9" t="s">
        <v>146</v>
      </c>
      <c r="B148" s="9" t="s">
        <v>144</v>
      </c>
      <c r="C148" s="9" t="s">
        <v>155</v>
      </c>
      <c r="D148" s="9" t="s">
        <v>153</v>
      </c>
      <c r="E148" s="10">
        <v>4.7300000000000004</v>
      </c>
      <c r="F148" s="16">
        <v>0.53969999999999996</v>
      </c>
      <c r="G148" s="16">
        <v>0.64690000000000003</v>
      </c>
      <c r="H148" s="12">
        <v>506</v>
      </c>
      <c r="I148" s="12">
        <v>506</v>
      </c>
      <c r="J148" s="10">
        <v>1930805.57</v>
      </c>
      <c r="K148" s="10">
        <v>3815.82</v>
      </c>
      <c r="L148" s="12">
        <v>0</v>
      </c>
      <c r="M148" s="16">
        <v>0</v>
      </c>
      <c r="N148" s="12">
        <v>0</v>
      </c>
      <c r="O148" s="16">
        <v>0</v>
      </c>
      <c r="P148" s="12">
        <v>506</v>
      </c>
      <c r="Q148" s="16">
        <v>1</v>
      </c>
      <c r="R148" s="10"/>
      <c r="S148" s="10"/>
      <c r="T148" s="10">
        <v>0</v>
      </c>
      <c r="U148" s="10">
        <v>0</v>
      </c>
    </row>
    <row r="149" spans="1:21" x14ac:dyDescent="0.35">
      <c r="A149" s="6" t="s">
        <v>149</v>
      </c>
      <c r="B149" s="6" t="s">
        <v>140</v>
      </c>
      <c r="C149" s="6" t="s">
        <v>154</v>
      </c>
      <c r="D149" s="6" t="s">
        <v>142</v>
      </c>
      <c r="E149" s="7">
        <v>9.15</v>
      </c>
      <c r="F149" s="18">
        <v>0.99029999999999996</v>
      </c>
      <c r="G149" s="18">
        <v>0.65579999999999994</v>
      </c>
      <c r="H149" s="13">
        <v>661</v>
      </c>
      <c r="I149" s="13">
        <v>661</v>
      </c>
      <c r="J149" s="7">
        <v>1920726.29</v>
      </c>
      <c r="K149" s="7">
        <v>2905.79</v>
      </c>
      <c r="L149" s="13">
        <v>0</v>
      </c>
      <c r="M149" s="18">
        <v>0</v>
      </c>
      <c r="N149" s="13">
        <v>0</v>
      </c>
      <c r="O149" s="18">
        <v>0</v>
      </c>
      <c r="P149" s="13">
        <v>661</v>
      </c>
      <c r="Q149" s="18">
        <v>1</v>
      </c>
      <c r="R149" s="7"/>
      <c r="S149" s="7"/>
      <c r="T149" s="7">
        <v>0</v>
      </c>
      <c r="U149" s="7">
        <v>0</v>
      </c>
    </row>
    <row r="150" spans="1:21" x14ac:dyDescent="0.35">
      <c r="A150" s="9" t="s">
        <v>149</v>
      </c>
      <c r="B150" s="9" t="s">
        <v>151</v>
      </c>
      <c r="C150" s="9" t="s">
        <v>154</v>
      </c>
      <c r="D150" s="9" t="s">
        <v>153</v>
      </c>
      <c r="E150" s="10">
        <v>4.71</v>
      </c>
      <c r="F150" s="16">
        <v>0.53920000000000001</v>
      </c>
      <c r="G150" s="16">
        <v>0.64829999999999999</v>
      </c>
      <c r="H150" s="12">
        <v>655</v>
      </c>
      <c r="I150" s="12">
        <v>655</v>
      </c>
      <c r="J150" s="10">
        <v>1920064.61</v>
      </c>
      <c r="K150" s="10">
        <v>2931.4</v>
      </c>
      <c r="L150" s="12">
        <v>0</v>
      </c>
      <c r="M150" s="16">
        <v>0</v>
      </c>
      <c r="N150" s="12">
        <v>0</v>
      </c>
      <c r="O150" s="16">
        <v>0</v>
      </c>
      <c r="P150" s="12">
        <v>655</v>
      </c>
      <c r="Q150" s="16">
        <v>1</v>
      </c>
      <c r="R150" s="10"/>
      <c r="S150" s="10"/>
      <c r="T150" s="10">
        <v>0</v>
      </c>
      <c r="U150" s="10">
        <v>0</v>
      </c>
    </row>
    <row r="151" spans="1:21" x14ac:dyDescent="0.35">
      <c r="A151" s="6" t="s">
        <v>150</v>
      </c>
      <c r="B151" s="6" t="s">
        <v>140</v>
      </c>
      <c r="C151" s="6" t="s">
        <v>154</v>
      </c>
      <c r="D151" s="6" t="s">
        <v>142</v>
      </c>
      <c r="E151" s="7">
        <v>9.23</v>
      </c>
      <c r="F151" s="18">
        <v>0.98980000000000001</v>
      </c>
      <c r="G151" s="18">
        <v>0.63919999999999999</v>
      </c>
      <c r="H151" s="13">
        <v>632</v>
      </c>
      <c r="I151" s="13">
        <v>632</v>
      </c>
      <c r="J151" s="7">
        <v>1906406.26</v>
      </c>
      <c r="K151" s="7">
        <v>3016.47</v>
      </c>
      <c r="L151" s="13">
        <v>0</v>
      </c>
      <c r="M151" s="18">
        <v>0</v>
      </c>
      <c r="N151" s="13">
        <v>0</v>
      </c>
      <c r="O151" s="18">
        <v>0</v>
      </c>
      <c r="P151" s="13">
        <v>632</v>
      </c>
      <c r="Q151" s="18">
        <v>1</v>
      </c>
      <c r="R151" s="7"/>
      <c r="S151" s="7"/>
      <c r="T151" s="7">
        <v>0</v>
      </c>
      <c r="U151" s="7">
        <v>0</v>
      </c>
    </row>
    <row r="152" spans="1:21" x14ac:dyDescent="0.35">
      <c r="A152" s="9" t="s">
        <v>143</v>
      </c>
      <c r="B152" s="9" t="s">
        <v>151</v>
      </c>
      <c r="C152" s="9" t="s">
        <v>155</v>
      </c>
      <c r="D152" s="9" t="s">
        <v>153</v>
      </c>
      <c r="E152" s="10">
        <v>4.58</v>
      </c>
      <c r="F152" s="16">
        <v>0.52969999999999995</v>
      </c>
      <c r="G152" s="16">
        <v>0.64579999999999993</v>
      </c>
      <c r="H152" s="12">
        <v>494</v>
      </c>
      <c r="I152" s="12">
        <v>494</v>
      </c>
      <c r="J152" s="10">
        <v>1891091.44</v>
      </c>
      <c r="K152" s="10">
        <v>3828.12</v>
      </c>
      <c r="L152" s="12">
        <v>0</v>
      </c>
      <c r="M152" s="16">
        <v>0</v>
      </c>
      <c r="N152" s="12">
        <v>0</v>
      </c>
      <c r="O152" s="16">
        <v>0</v>
      </c>
      <c r="P152" s="12">
        <v>494</v>
      </c>
      <c r="Q152" s="16">
        <v>1</v>
      </c>
      <c r="R152" s="10"/>
      <c r="S152" s="10"/>
      <c r="T152" s="10">
        <v>0</v>
      </c>
      <c r="U152" s="10">
        <v>0</v>
      </c>
    </row>
    <row r="153" spans="1:21" x14ac:dyDescent="0.35">
      <c r="A153" s="6" t="s">
        <v>143</v>
      </c>
      <c r="B153" s="6" t="s">
        <v>145</v>
      </c>
      <c r="C153" s="6" t="s">
        <v>155</v>
      </c>
      <c r="D153" s="6" t="s">
        <v>153</v>
      </c>
      <c r="E153" s="7">
        <v>4.66</v>
      </c>
      <c r="F153" s="18">
        <v>0.53239999999999998</v>
      </c>
      <c r="G153" s="18">
        <v>0.65010000000000001</v>
      </c>
      <c r="H153" s="13">
        <v>494</v>
      </c>
      <c r="I153" s="13">
        <v>494</v>
      </c>
      <c r="J153" s="7">
        <v>1889717.62</v>
      </c>
      <c r="K153" s="7">
        <v>3825.34</v>
      </c>
      <c r="L153" s="13">
        <v>0</v>
      </c>
      <c r="M153" s="18">
        <v>0</v>
      </c>
      <c r="N153" s="13">
        <v>0</v>
      </c>
      <c r="O153" s="18">
        <v>0</v>
      </c>
      <c r="P153" s="13">
        <v>494</v>
      </c>
      <c r="Q153" s="18">
        <v>1</v>
      </c>
      <c r="R153" s="7"/>
      <c r="S153" s="7"/>
      <c r="T153" s="7">
        <v>0</v>
      </c>
      <c r="U153" s="7">
        <v>0</v>
      </c>
    </row>
    <row r="154" spans="1:21" x14ac:dyDescent="0.35">
      <c r="A154" s="9" t="s">
        <v>150</v>
      </c>
      <c r="B154" s="9" t="s">
        <v>148</v>
      </c>
      <c r="C154" s="9" t="s">
        <v>154</v>
      </c>
      <c r="D154" s="9" t="s">
        <v>153</v>
      </c>
      <c r="E154" s="10">
        <v>4.72</v>
      </c>
      <c r="F154" s="16">
        <v>0.5534</v>
      </c>
      <c r="G154" s="16">
        <v>0.65549999999999997</v>
      </c>
      <c r="H154" s="12">
        <v>661</v>
      </c>
      <c r="I154" s="12">
        <v>661</v>
      </c>
      <c r="J154" s="10">
        <v>1839106.69</v>
      </c>
      <c r="K154" s="10">
        <v>2782.31</v>
      </c>
      <c r="L154" s="12">
        <v>0</v>
      </c>
      <c r="M154" s="16">
        <v>0</v>
      </c>
      <c r="N154" s="12">
        <v>0</v>
      </c>
      <c r="O154" s="16">
        <v>0</v>
      </c>
      <c r="P154" s="12">
        <v>661</v>
      </c>
      <c r="Q154" s="16">
        <v>1</v>
      </c>
      <c r="R154" s="10"/>
      <c r="S154" s="10"/>
      <c r="T154" s="10">
        <v>0</v>
      </c>
      <c r="U154" s="10">
        <v>0</v>
      </c>
    </row>
    <row r="155" spans="1:21" x14ac:dyDescent="0.35">
      <c r="A155" s="6" t="s">
        <v>146</v>
      </c>
      <c r="B155" s="6" t="s">
        <v>144</v>
      </c>
      <c r="C155" s="6" t="s">
        <v>154</v>
      </c>
      <c r="D155" s="6" t="s">
        <v>142</v>
      </c>
      <c r="E155" s="7">
        <v>9.32</v>
      </c>
      <c r="F155" s="18">
        <v>0.99109999999999998</v>
      </c>
      <c r="G155" s="18">
        <v>0.64529999999999998</v>
      </c>
      <c r="H155" s="13">
        <v>639</v>
      </c>
      <c r="I155" s="13">
        <v>639</v>
      </c>
      <c r="J155" s="7">
        <v>1807246.15</v>
      </c>
      <c r="K155" s="7">
        <v>2828.24</v>
      </c>
      <c r="L155" s="13">
        <v>0</v>
      </c>
      <c r="M155" s="18">
        <v>0</v>
      </c>
      <c r="N155" s="13">
        <v>0</v>
      </c>
      <c r="O155" s="18">
        <v>0</v>
      </c>
      <c r="P155" s="13">
        <v>639</v>
      </c>
      <c r="Q155" s="18">
        <v>1</v>
      </c>
      <c r="R155" s="7"/>
      <c r="S155" s="7"/>
      <c r="T155" s="7">
        <v>0</v>
      </c>
      <c r="U155" s="7">
        <v>0</v>
      </c>
    </row>
    <row r="156" spans="1:21" x14ac:dyDescent="0.35">
      <c r="A156" s="9" t="s">
        <v>150</v>
      </c>
      <c r="B156" s="9" t="s">
        <v>140</v>
      </c>
      <c r="C156" s="9" t="s">
        <v>154</v>
      </c>
      <c r="D156" s="9" t="s">
        <v>153</v>
      </c>
      <c r="E156" s="10">
        <v>4.72</v>
      </c>
      <c r="F156" s="16">
        <v>0.54859999999999998</v>
      </c>
      <c r="G156" s="16">
        <v>0.64690000000000003</v>
      </c>
      <c r="H156" s="12">
        <v>647</v>
      </c>
      <c r="I156" s="12">
        <v>647</v>
      </c>
      <c r="J156" s="10">
        <v>1807146.53</v>
      </c>
      <c r="K156" s="10">
        <v>2793.12</v>
      </c>
      <c r="L156" s="12">
        <v>0</v>
      </c>
      <c r="M156" s="16">
        <v>0</v>
      </c>
      <c r="N156" s="12">
        <v>0</v>
      </c>
      <c r="O156" s="16">
        <v>0</v>
      </c>
      <c r="P156" s="12">
        <v>647</v>
      </c>
      <c r="Q156" s="16">
        <v>1</v>
      </c>
      <c r="R156" s="10"/>
      <c r="S156" s="10"/>
      <c r="T156" s="10">
        <v>0</v>
      </c>
      <c r="U156" s="10">
        <v>0</v>
      </c>
    </row>
    <row r="157" spans="1:21" x14ac:dyDescent="0.35">
      <c r="A157" s="6" t="s">
        <v>149</v>
      </c>
      <c r="B157" s="6" t="s">
        <v>144</v>
      </c>
      <c r="C157" s="6" t="s">
        <v>154</v>
      </c>
      <c r="D157" s="6" t="s">
        <v>142</v>
      </c>
      <c r="E157" s="7">
        <v>9.24</v>
      </c>
      <c r="F157" s="18">
        <v>0.99029999999999996</v>
      </c>
      <c r="G157" s="18">
        <v>0.63859999999999995</v>
      </c>
      <c r="H157" s="13">
        <v>600</v>
      </c>
      <c r="I157" s="13">
        <v>600</v>
      </c>
      <c r="J157" s="7">
        <v>1792579.86</v>
      </c>
      <c r="K157" s="7">
        <v>2987.63</v>
      </c>
      <c r="L157" s="13">
        <v>0</v>
      </c>
      <c r="M157" s="18">
        <v>0</v>
      </c>
      <c r="N157" s="13">
        <v>0</v>
      </c>
      <c r="O157" s="18">
        <v>0</v>
      </c>
      <c r="P157" s="13">
        <v>600</v>
      </c>
      <c r="Q157" s="18">
        <v>1</v>
      </c>
      <c r="R157" s="7"/>
      <c r="S157" s="7"/>
      <c r="T157" s="7">
        <v>0</v>
      </c>
      <c r="U157" s="7">
        <v>0</v>
      </c>
    </row>
    <row r="158" spans="1:21" x14ac:dyDescent="0.35">
      <c r="A158" s="9" t="s">
        <v>139</v>
      </c>
      <c r="B158" s="9" t="s">
        <v>147</v>
      </c>
      <c r="C158" s="9" t="s">
        <v>154</v>
      </c>
      <c r="D158" s="9" t="s">
        <v>153</v>
      </c>
      <c r="E158" s="10">
        <v>4.5999999999999996</v>
      </c>
      <c r="F158" s="16">
        <v>0.51529999999999998</v>
      </c>
      <c r="G158" s="16">
        <v>0.65450000000000008</v>
      </c>
      <c r="H158" s="12">
        <v>643</v>
      </c>
      <c r="I158" s="12">
        <v>643</v>
      </c>
      <c r="J158" s="10">
        <v>1771592.07</v>
      </c>
      <c r="K158" s="10">
        <v>2755.2</v>
      </c>
      <c r="L158" s="12">
        <v>0</v>
      </c>
      <c r="M158" s="16">
        <v>0</v>
      </c>
      <c r="N158" s="12">
        <v>0</v>
      </c>
      <c r="O158" s="16">
        <v>0</v>
      </c>
      <c r="P158" s="12">
        <v>643</v>
      </c>
      <c r="Q158" s="16">
        <v>1</v>
      </c>
      <c r="R158" s="10"/>
      <c r="S158" s="10"/>
      <c r="T158" s="10">
        <v>0</v>
      </c>
      <c r="U158" s="10">
        <v>0</v>
      </c>
    </row>
    <row r="159" spans="1:21" x14ac:dyDescent="0.35">
      <c r="A159" s="6" t="s">
        <v>146</v>
      </c>
      <c r="B159" s="6" t="s">
        <v>151</v>
      </c>
      <c r="C159" s="6" t="s">
        <v>155</v>
      </c>
      <c r="D159" s="6" t="s">
        <v>153</v>
      </c>
      <c r="E159" s="7">
        <v>4.62</v>
      </c>
      <c r="F159" s="18">
        <v>0.51190000000000002</v>
      </c>
      <c r="G159" s="18">
        <v>0.65400000000000003</v>
      </c>
      <c r="H159" s="13">
        <v>492</v>
      </c>
      <c r="I159" s="13">
        <v>492</v>
      </c>
      <c r="J159" s="7">
        <v>1770382.89</v>
      </c>
      <c r="K159" s="7">
        <v>3598.34</v>
      </c>
      <c r="L159" s="13">
        <v>0</v>
      </c>
      <c r="M159" s="18">
        <v>0</v>
      </c>
      <c r="N159" s="13">
        <v>0</v>
      </c>
      <c r="O159" s="18">
        <v>0</v>
      </c>
      <c r="P159" s="13">
        <v>492</v>
      </c>
      <c r="Q159" s="18">
        <v>1</v>
      </c>
      <c r="R159" s="7"/>
      <c r="S159" s="7"/>
      <c r="T159" s="7">
        <v>0</v>
      </c>
      <c r="U159" s="7">
        <v>0</v>
      </c>
    </row>
    <row r="160" spans="1:21" x14ac:dyDescent="0.35">
      <c r="A160" s="9" t="s">
        <v>146</v>
      </c>
      <c r="B160" s="9" t="s">
        <v>147</v>
      </c>
      <c r="C160" s="9" t="s">
        <v>155</v>
      </c>
      <c r="D160" s="9" t="s">
        <v>153</v>
      </c>
      <c r="E160" s="10">
        <v>4.63</v>
      </c>
      <c r="F160" s="16">
        <v>0.52029999999999998</v>
      </c>
      <c r="G160" s="16">
        <v>0.66220000000000001</v>
      </c>
      <c r="H160" s="12">
        <v>482</v>
      </c>
      <c r="I160" s="12">
        <v>482</v>
      </c>
      <c r="J160" s="10">
        <v>1757778.27</v>
      </c>
      <c r="K160" s="10">
        <v>3646.84</v>
      </c>
      <c r="L160" s="12">
        <v>0</v>
      </c>
      <c r="M160" s="16">
        <v>0</v>
      </c>
      <c r="N160" s="12">
        <v>0</v>
      </c>
      <c r="O160" s="16">
        <v>0</v>
      </c>
      <c r="P160" s="12">
        <v>482</v>
      </c>
      <c r="Q160" s="16">
        <v>1</v>
      </c>
      <c r="R160" s="10"/>
      <c r="S160" s="10"/>
      <c r="T160" s="10">
        <v>0</v>
      </c>
      <c r="U160" s="10">
        <v>0</v>
      </c>
    </row>
    <row r="161" spans="1:21" x14ac:dyDescent="0.35">
      <c r="A161" s="6" t="s">
        <v>150</v>
      </c>
      <c r="B161" s="6" t="s">
        <v>145</v>
      </c>
      <c r="C161" s="6" t="s">
        <v>155</v>
      </c>
      <c r="D161" s="6" t="s">
        <v>153</v>
      </c>
      <c r="E161" s="7">
        <v>4.63</v>
      </c>
      <c r="F161" s="18">
        <v>0.51490000000000002</v>
      </c>
      <c r="G161" s="18">
        <v>0.65599999999999992</v>
      </c>
      <c r="H161" s="13">
        <v>493</v>
      </c>
      <c r="I161" s="13">
        <v>493</v>
      </c>
      <c r="J161" s="7">
        <v>1757415.63</v>
      </c>
      <c r="K161" s="7">
        <v>3564.74</v>
      </c>
      <c r="L161" s="13">
        <v>0</v>
      </c>
      <c r="M161" s="18">
        <v>0</v>
      </c>
      <c r="N161" s="13">
        <v>0</v>
      </c>
      <c r="O161" s="18">
        <v>0</v>
      </c>
      <c r="P161" s="13">
        <v>493</v>
      </c>
      <c r="Q161" s="18">
        <v>1</v>
      </c>
      <c r="R161" s="7"/>
      <c r="S161" s="7"/>
      <c r="T161" s="7">
        <v>0</v>
      </c>
      <c r="U161" s="7">
        <v>0</v>
      </c>
    </row>
    <row r="162" spans="1:21" x14ac:dyDescent="0.35">
      <c r="A162" s="9" t="s">
        <v>150</v>
      </c>
      <c r="B162" s="9" t="s">
        <v>148</v>
      </c>
      <c r="C162" s="9" t="s">
        <v>154</v>
      </c>
      <c r="D162" s="9" t="s">
        <v>142</v>
      </c>
      <c r="E162" s="10">
        <v>8.93</v>
      </c>
      <c r="F162" s="16">
        <v>0.98680000000000012</v>
      </c>
      <c r="G162" s="16">
        <v>0.65139999999999998</v>
      </c>
      <c r="H162" s="12">
        <v>600</v>
      </c>
      <c r="I162" s="12">
        <v>600</v>
      </c>
      <c r="J162" s="10">
        <v>1742109.88</v>
      </c>
      <c r="K162" s="10">
        <v>2903.52</v>
      </c>
      <c r="L162" s="12">
        <v>0</v>
      </c>
      <c r="M162" s="16">
        <v>0</v>
      </c>
      <c r="N162" s="12">
        <v>0</v>
      </c>
      <c r="O162" s="16">
        <v>0</v>
      </c>
      <c r="P162" s="12">
        <v>600</v>
      </c>
      <c r="Q162" s="16">
        <v>1</v>
      </c>
      <c r="R162" s="10"/>
      <c r="S162" s="10"/>
      <c r="T162" s="10">
        <v>0</v>
      </c>
      <c r="U162" s="10">
        <v>0</v>
      </c>
    </row>
    <row r="163" spans="1:21" x14ac:dyDescent="0.35">
      <c r="A163" s="6" t="s">
        <v>146</v>
      </c>
      <c r="B163" s="6" t="s">
        <v>147</v>
      </c>
      <c r="C163" s="6" t="s">
        <v>154</v>
      </c>
      <c r="D163" s="6" t="s">
        <v>142</v>
      </c>
      <c r="E163" s="7">
        <v>9.1999999999999993</v>
      </c>
      <c r="F163" s="18">
        <v>0.99290000000000012</v>
      </c>
      <c r="G163" s="18">
        <v>0.65549999999999997</v>
      </c>
      <c r="H163" s="13">
        <v>608</v>
      </c>
      <c r="I163" s="13">
        <v>608</v>
      </c>
      <c r="J163" s="7">
        <v>1736832.07</v>
      </c>
      <c r="K163" s="7">
        <v>2856.63</v>
      </c>
      <c r="L163" s="13">
        <v>0</v>
      </c>
      <c r="M163" s="18">
        <v>0</v>
      </c>
      <c r="N163" s="13">
        <v>0</v>
      </c>
      <c r="O163" s="18">
        <v>0</v>
      </c>
      <c r="P163" s="13">
        <v>608</v>
      </c>
      <c r="Q163" s="18">
        <v>1</v>
      </c>
      <c r="R163" s="7"/>
      <c r="S163" s="7"/>
      <c r="T163" s="7">
        <v>0</v>
      </c>
      <c r="U163" s="7">
        <v>0</v>
      </c>
    </row>
    <row r="164" spans="1:21" x14ac:dyDescent="0.35">
      <c r="A164" s="9" t="s">
        <v>146</v>
      </c>
      <c r="B164" s="9" t="s">
        <v>145</v>
      </c>
      <c r="C164" s="9" t="s">
        <v>141</v>
      </c>
      <c r="D164" s="9" t="s">
        <v>156</v>
      </c>
      <c r="E164" s="10">
        <v>1.66</v>
      </c>
      <c r="F164" s="16">
        <v>4.2299999999999997E-2</v>
      </c>
      <c r="G164" s="16">
        <v>0.64329999999999998</v>
      </c>
      <c r="H164" s="12">
        <v>355</v>
      </c>
      <c r="I164" s="12">
        <v>355</v>
      </c>
      <c r="J164" s="10">
        <v>1734153.82</v>
      </c>
      <c r="K164" s="10">
        <v>4884.9399999999996</v>
      </c>
      <c r="L164" s="12">
        <v>0</v>
      </c>
      <c r="M164" s="16">
        <v>0</v>
      </c>
      <c r="N164" s="12">
        <v>355</v>
      </c>
      <c r="O164" s="16">
        <v>1</v>
      </c>
      <c r="P164" s="12">
        <v>0</v>
      </c>
      <c r="Q164" s="16">
        <v>0</v>
      </c>
      <c r="R164" s="10"/>
      <c r="S164" s="10">
        <v>4884.9403380281692</v>
      </c>
      <c r="T164" s="10">
        <v>0</v>
      </c>
      <c r="U164" s="10">
        <v>204.71079088013079</v>
      </c>
    </row>
    <row r="165" spans="1:21" x14ac:dyDescent="0.35">
      <c r="A165" s="6" t="s">
        <v>149</v>
      </c>
      <c r="B165" s="6" t="s">
        <v>148</v>
      </c>
      <c r="C165" s="6" t="s">
        <v>155</v>
      </c>
      <c r="D165" s="6" t="s">
        <v>153</v>
      </c>
      <c r="E165" s="7">
        <v>4.68</v>
      </c>
      <c r="F165" s="18">
        <v>0.54</v>
      </c>
      <c r="G165" s="18">
        <v>0.64800000000000002</v>
      </c>
      <c r="H165" s="13">
        <v>501</v>
      </c>
      <c r="I165" s="13">
        <v>501</v>
      </c>
      <c r="J165" s="7">
        <v>1701204.9</v>
      </c>
      <c r="K165" s="7">
        <v>3395.62</v>
      </c>
      <c r="L165" s="13">
        <v>0</v>
      </c>
      <c r="M165" s="18">
        <v>0</v>
      </c>
      <c r="N165" s="13">
        <v>0</v>
      </c>
      <c r="O165" s="18">
        <v>0</v>
      </c>
      <c r="P165" s="13">
        <v>501</v>
      </c>
      <c r="Q165" s="18">
        <v>1</v>
      </c>
      <c r="R165" s="7"/>
      <c r="S165" s="7"/>
      <c r="T165" s="7">
        <v>0</v>
      </c>
      <c r="U165" s="7">
        <v>0</v>
      </c>
    </row>
    <row r="166" spans="1:21" x14ac:dyDescent="0.35">
      <c r="A166" s="9" t="s">
        <v>139</v>
      </c>
      <c r="B166" s="9" t="s">
        <v>147</v>
      </c>
      <c r="C166" s="9" t="s">
        <v>154</v>
      </c>
      <c r="D166" s="9" t="s">
        <v>142</v>
      </c>
      <c r="E166" s="10">
        <v>9.23</v>
      </c>
      <c r="F166" s="16">
        <v>0.99140000000000006</v>
      </c>
      <c r="G166" s="16">
        <v>0.65150000000000008</v>
      </c>
      <c r="H166" s="12">
        <v>650</v>
      </c>
      <c r="I166" s="12">
        <v>650</v>
      </c>
      <c r="J166" s="10">
        <v>1697238.52</v>
      </c>
      <c r="K166" s="10">
        <v>2611.14</v>
      </c>
      <c r="L166" s="12">
        <v>0</v>
      </c>
      <c r="M166" s="16">
        <v>0</v>
      </c>
      <c r="N166" s="12">
        <v>0</v>
      </c>
      <c r="O166" s="16">
        <v>0</v>
      </c>
      <c r="P166" s="12">
        <v>650</v>
      </c>
      <c r="Q166" s="16">
        <v>1</v>
      </c>
      <c r="R166" s="10"/>
      <c r="S166" s="10"/>
      <c r="T166" s="10">
        <v>0</v>
      </c>
      <c r="U166" s="10">
        <v>0</v>
      </c>
    </row>
    <row r="167" spans="1:21" x14ac:dyDescent="0.35">
      <c r="A167" s="6" t="s">
        <v>139</v>
      </c>
      <c r="B167" s="6" t="s">
        <v>148</v>
      </c>
      <c r="C167" s="6" t="s">
        <v>155</v>
      </c>
      <c r="D167" s="6" t="s">
        <v>153</v>
      </c>
      <c r="E167" s="7">
        <v>4.6100000000000003</v>
      </c>
      <c r="F167" s="18">
        <v>0.52500000000000002</v>
      </c>
      <c r="G167" s="18">
        <v>0.66790000000000005</v>
      </c>
      <c r="H167" s="13">
        <v>464</v>
      </c>
      <c r="I167" s="13">
        <v>464</v>
      </c>
      <c r="J167" s="7">
        <v>1674436.13</v>
      </c>
      <c r="K167" s="7">
        <v>3608.7</v>
      </c>
      <c r="L167" s="13">
        <v>0</v>
      </c>
      <c r="M167" s="18">
        <v>0</v>
      </c>
      <c r="N167" s="13">
        <v>0</v>
      </c>
      <c r="O167" s="18">
        <v>0</v>
      </c>
      <c r="P167" s="13">
        <v>464</v>
      </c>
      <c r="Q167" s="18">
        <v>1</v>
      </c>
      <c r="R167" s="7"/>
      <c r="S167" s="7"/>
      <c r="T167" s="7">
        <v>0</v>
      </c>
      <c r="U167" s="7">
        <v>0</v>
      </c>
    </row>
    <row r="168" spans="1:21" x14ac:dyDescent="0.35">
      <c r="A168" s="9" t="s">
        <v>139</v>
      </c>
      <c r="B168" s="9" t="s">
        <v>151</v>
      </c>
      <c r="C168" s="9" t="s">
        <v>141</v>
      </c>
      <c r="D168" s="9" t="s">
        <v>156</v>
      </c>
      <c r="E168" s="10">
        <v>1.58</v>
      </c>
      <c r="F168" s="16">
        <v>3.7100000000000001E-2</v>
      </c>
      <c r="G168" s="16">
        <v>0.64950000000000008</v>
      </c>
      <c r="H168" s="12">
        <v>337</v>
      </c>
      <c r="I168" s="12">
        <v>337</v>
      </c>
      <c r="J168" s="10">
        <v>1672559.28</v>
      </c>
      <c r="K168" s="10">
        <v>4963.08</v>
      </c>
      <c r="L168" s="12">
        <v>0</v>
      </c>
      <c r="M168" s="16">
        <v>0</v>
      </c>
      <c r="N168" s="12">
        <v>337</v>
      </c>
      <c r="O168" s="16">
        <v>1</v>
      </c>
      <c r="P168" s="12">
        <v>0</v>
      </c>
      <c r="Q168" s="16">
        <v>0</v>
      </c>
      <c r="R168" s="10"/>
      <c r="S168" s="10">
        <v>4963.0839169139463</v>
      </c>
      <c r="T168" s="10">
        <v>0</v>
      </c>
      <c r="U168" s="10">
        <v>201.4876267943101</v>
      </c>
    </row>
    <row r="169" spans="1:21" x14ac:dyDescent="0.35">
      <c r="A169" s="6" t="s">
        <v>149</v>
      </c>
      <c r="B169" s="6" t="s">
        <v>145</v>
      </c>
      <c r="C169" s="6" t="s">
        <v>155</v>
      </c>
      <c r="D169" s="6" t="s">
        <v>153</v>
      </c>
      <c r="E169" s="7">
        <v>4.6500000000000004</v>
      </c>
      <c r="F169" s="18">
        <v>0.52390000000000003</v>
      </c>
      <c r="G169" s="18">
        <v>0.6573</v>
      </c>
      <c r="H169" s="13">
        <v>473</v>
      </c>
      <c r="I169" s="13">
        <v>473</v>
      </c>
      <c r="J169" s="7">
        <v>1671876.8</v>
      </c>
      <c r="K169" s="7">
        <v>3534.62</v>
      </c>
      <c r="L169" s="13">
        <v>0</v>
      </c>
      <c r="M169" s="18">
        <v>0</v>
      </c>
      <c r="N169" s="13">
        <v>0</v>
      </c>
      <c r="O169" s="18">
        <v>0</v>
      </c>
      <c r="P169" s="13">
        <v>473</v>
      </c>
      <c r="Q169" s="18">
        <v>1</v>
      </c>
      <c r="R169" s="7"/>
      <c r="S169" s="7"/>
      <c r="T169" s="7">
        <v>0</v>
      </c>
      <c r="U169" s="7">
        <v>0</v>
      </c>
    </row>
    <row r="170" spans="1:21" x14ac:dyDescent="0.35">
      <c r="A170" s="9" t="s">
        <v>143</v>
      </c>
      <c r="B170" s="9" t="s">
        <v>144</v>
      </c>
      <c r="C170" s="9" t="s">
        <v>155</v>
      </c>
      <c r="D170" s="9" t="s">
        <v>153</v>
      </c>
      <c r="E170" s="10">
        <v>4.71</v>
      </c>
      <c r="F170" s="16">
        <v>0.53049999999999997</v>
      </c>
      <c r="G170" s="16">
        <v>0.63990000000000002</v>
      </c>
      <c r="H170" s="12">
        <v>487</v>
      </c>
      <c r="I170" s="12">
        <v>487</v>
      </c>
      <c r="J170" s="10">
        <v>1639763.42</v>
      </c>
      <c r="K170" s="10">
        <v>3367.07</v>
      </c>
      <c r="L170" s="12">
        <v>0</v>
      </c>
      <c r="M170" s="16">
        <v>0</v>
      </c>
      <c r="N170" s="12">
        <v>0</v>
      </c>
      <c r="O170" s="16">
        <v>0</v>
      </c>
      <c r="P170" s="12">
        <v>487</v>
      </c>
      <c r="Q170" s="16">
        <v>1</v>
      </c>
      <c r="R170" s="10"/>
      <c r="S170" s="10"/>
      <c r="T170" s="10">
        <v>0</v>
      </c>
      <c r="U170" s="10">
        <v>0</v>
      </c>
    </row>
    <row r="171" spans="1:21" x14ac:dyDescent="0.35">
      <c r="A171" s="6" t="s">
        <v>143</v>
      </c>
      <c r="B171" s="6" t="s">
        <v>148</v>
      </c>
      <c r="C171" s="6" t="s">
        <v>155</v>
      </c>
      <c r="D171" s="6" t="s">
        <v>153</v>
      </c>
      <c r="E171" s="7">
        <v>4.5599999999999996</v>
      </c>
      <c r="F171" s="18">
        <v>0.51700000000000002</v>
      </c>
      <c r="G171" s="18">
        <v>0.64269999999999994</v>
      </c>
      <c r="H171" s="13">
        <v>494</v>
      </c>
      <c r="I171" s="13">
        <v>494</v>
      </c>
      <c r="J171" s="7">
        <v>1628298.11</v>
      </c>
      <c r="K171" s="7">
        <v>3296.15</v>
      </c>
      <c r="L171" s="13">
        <v>0</v>
      </c>
      <c r="M171" s="18">
        <v>0</v>
      </c>
      <c r="N171" s="13">
        <v>0</v>
      </c>
      <c r="O171" s="18">
        <v>0</v>
      </c>
      <c r="P171" s="13">
        <v>494</v>
      </c>
      <c r="Q171" s="18">
        <v>1</v>
      </c>
      <c r="R171" s="7"/>
      <c r="S171" s="7"/>
      <c r="T171" s="7">
        <v>0</v>
      </c>
      <c r="U171" s="7">
        <v>0</v>
      </c>
    </row>
    <row r="172" spans="1:21" x14ac:dyDescent="0.35">
      <c r="A172" s="9" t="s">
        <v>139</v>
      </c>
      <c r="B172" s="9" t="s">
        <v>140</v>
      </c>
      <c r="C172" s="9" t="s">
        <v>155</v>
      </c>
      <c r="D172" s="9" t="s">
        <v>153</v>
      </c>
      <c r="E172" s="10">
        <v>4.6100000000000003</v>
      </c>
      <c r="F172" s="16">
        <v>0.51390000000000002</v>
      </c>
      <c r="G172" s="16">
        <v>0.6542</v>
      </c>
      <c r="H172" s="12">
        <v>452</v>
      </c>
      <c r="I172" s="12">
        <v>452</v>
      </c>
      <c r="J172" s="10">
        <v>1615827.62</v>
      </c>
      <c r="K172" s="10">
        <v>3574.84</v>
      </c>
      <c r="L172" s="12">
        <v>0</v>
      </c>
      <c r="M172" s="16">
        <v>0</v>
      </c>
      <c r="N172" s="12">
        <v>0</v>
      </c>
      <c r="O172" s="16">
        <v>0</v>
      </c>
      <c r="P172" s="12">
        <v>452</v>
      </c>
      <c r="Q172" s="16">
        <v>1</v>
      </c>
      <c r="R172" s="10"/>
      <c r="S172" s="10"/>
      <c r="T172" s="10">
        <v>0</v>
      </c>
      <c r="U172" s="10">
        <v>0</v>
      </c>
    </row>
    <row r="173" spans="1:21" x14ac:dyDescent="0.35">
      <c r="A173" s="6" t="s">
        <v>150</v>
      </c>
      <c r="B173" s="6" t="s">
        <v>147</v>
      </c>
      <c r="C173" s="6" t="s">
        <v>154</v>
      </c>
      <c r="D173" s="6" t="s">
        <v>142</v>
      </c>
      <c r="E173" s="7">
        <v>9.27</v>
      </c>
      <c r="F173" s="18">
        <v>0.9919</v>
      </c>
      <c r="G173" s="18">
        <v>0.64159999999999995</v>
      </c>
      <c r="H173" s="13">
        <v>621</v>
      </c>
      <c r="I173" s="13">
        <v>621</v>
      </c>
      <c r="J173" s="7">
        <v>1602770.42</v>
      </c>
      <c r="K173" s="7">
        <v>2580.9499999999998</v>
      </c>
      <c r="L173" s="13">
        <v>0</v>
      </c>
      <c r="M173" s="18">
        <v>0</v>
      </c>
      <c r="N173" s="13">
        <v>0</v>
      </c>
      <c r="O173" s="18">
        <v>0</v>
      </c>
      <c r="P173" s="13">
        <v>621</v>
      </c>
      <c r="Q173" s="18">
        <v>1</v>
      </c>
      <c r="R173" s="7"/>
      <c r="S173" s="7"/>
      <c r="T173" s="7">
        <v>0</v>
      </c>
      <c r="U173" s="7">
        <v>0</v>
      </c>
    </row>
    <row r="174" spans="1:21" x14ac:dyDescent="0.35">
      <c r="A174" s="9" t="s">
        <v>150</v>
      </c>
      <c r="B174" s="9" t="s">
        <v>140</v>
      </c>
      <c r="C174" s="9" t="s">
        <v>155</v>
      </c>
      <c r="D174" s="9" t="s">
        <v>153</v>
      </c>
      <c r="E174" s="10">
        <v>4.67</v>
      </c>
      <c r="F174" s="16">
        <v>0.52959999999999996</v>
      </c>
      <c r="G174" s="16">
        <v>0.65239999999999998</v>
      </c>
      <c r="H174" s="12">
        <v>565</v>
      </c>
      <c r="I174" s="12">
        <v>565</v>
      </c>
      <c r="J174" s="10">
        <v>1578876.39</v>
      </c>
      <c r="K174" s="10">
        <v>2794.47</v>
      </c>
      <c r="L174" s="12">
        <v>0</v>
      </c>
      <c r="M174" s="16">
        <v>0</v>
      </c>
      <c r="N174" s="12">
        <v>0</v>
      </c>
      <c r="O174" s="16">
        <v>0</v>
      </c>
      <c r="P174" s="12">
        <v>565</v>
      </c>
      <c r="Q174" s="16">
        <v>1</v>
      </c>
      <c r="R174" s="10"/>
      <c r="S174" s="10"/>
      <c r="T174" s="10">
        <v>0</v>
      </c>
      <c r="U174" s="10">
        <v>0</v>
      </c>
    </row>
    <row r="175" spans="1:21" x14ac:dyDescent="0.35">
      <c r="A175" s="6" t="s">
        <v>150</v>
      </c>
      <c r="B175" s="6" t="s">
        <v>148</v>
      </c>
      <c r="C175" s="6" t="s">
        <v>155</v>
      </c>
      <c r="D175" s="6" t="s">
        <v>153</v>
      </c>
      <c r="E175" s="7">
        <v>4.66</v>
      </c>
      <c r="F175" s="18">
        <v>0.51800000000000002</v>
      </c>
      <c r="G175" s="18">
        <v>0.66099999999999992</v>
      </c>
      <c r="H175" s="13">
        <v>486</v>
      </c>
      <c r="I175" s="13">
        <v>486</v>
      </c>
      <c r="J175" s="7">
        <v>1575697.95</v>
      </c>
      <c r="K175" s="7">
        <v>3242.18</v>
      </c>
      <c r="L175" s="13">
        <v>0</v>
      </c>
      <c r="M175" s="18">
        <v>0</v>
      </c>
      <c r="N175" s="13">
        <v>0</v>
      </c>
      <c r="O175" s="18">
        <v>0</v>
      </c>
      <c r="P175" s="13">
        <v>486</v>
      </c>
      <c r="Q175" s="18">
        <v>1</v>
      </c>
      <c r="R175" s="7"/>
      <c r="S175" s="7"/>
      <c r="T175" s="7">
        <v>0</v>
      </c>
      <c r="U175" s="7">
        <v>0</v>
      </c>
    </row>
    <row r="176" spans="1:21" x14ac:dyDescent="0.35">
      <c r="A176" s="9" t="s">
        <v>149</v>
      </c>
      <c r="B176" s="9" t="s">
        <v>148</v>
      </c>
      <c r="C176" s="9" t="s">
        <v>154</v>
      </c>
      <c r="D176" s="9" t="s">
        <v>142</v>
      </c>
      <c r="E176" s="10">
        <v>9.17</v>
      </c>
      <c r="F176" s="16">
        <v>0.9909</v>
      </c>
      <c r="G176" s="16">
        <v>0.65099999999999991</v>
      </c>
      <c r="H176" s="12">
        <v>616</v>
      </c>
      <c r="I176" s="12">
        <v>616</v>
      </c>
      <c r="J176" s="10">
        <v>1568517.56</v>
      </c>
      <c r="K176" s="10">
        <v>2546.29</v>
      </c>
      <c r="L176" s="12">
        <v>0</v>
      </c>
      <c r="M176" s="16">
        <v>0</v>
      </c>
      <c r="N176" s="12">
        <v>0</v>
      </c>
      <c r="O176" s="16">
        <v>0</v>
      </c>
      <c r="P176" s="12">
        <v>616</v>
      </c>
      <c r="Q176" s="16">
        <v>1</v>
      </c>
      <c r="R176" s="10"/>
      <c r="S176" s="10"/>
      <c r="T176" s="10">
        <v>0</v>
      </c>
      <c r="U176" s="10">
        <v>0</v>
      </c>
    </row>
    <row r="177" spans="1:21" x14ac:dyDescent="0.35">
      <c r="A177" s="6" t="s">
        <v>143</v>
      </c>
      <c r="B177" s="6" t="s">
        <v>147</v>
      </c>
      <c r="C177" s="6" t="s">
        <v>155</v>
      </c>
      <c r="D177" s="6" t="s">
        <v>153</v>
      </c>
      <c r="E177" s="7">
        <v>4.74</v>
      </c>
      <c r="F177" s="18">
        <v>0.55010000000000003</v>
      </c>
      <c r="G177" s="18">
        <v>0.66150000000000009</v>
      </c>
      <c r="H177" s="13">
        <v>491</v>
      </c>
      <c r="I177" s="13">
        <v>491</v>
      </c>
      <c r="J177" s="7">
        <v>1544796.02</v>
      </c>
      <c r="K177" s="7">
        <v>3146.22</v>
      </c>
      <c r="L177" s="13">
        <v>0</v>
      </c>
      <c r="M177" s="18">
        <v>0</v>
      </c>
      <c r="N177" s="13">
        <v>0</v>
      </c>
      <c r="O177" s="18">
        <v>0</v>
      </c>
      <c r="P177" s="13">
        <v>491</v>
      </c>
      <c r="Q177" s="18">
        <v>1</v>
      </c>
      <c r="R177" s="7"/>
      <c r="S177" s="7"/>
      <c r="T177" s="7">
        <v>0</v>
      </c>
      <c r="U177" s="7">
        <v>0</v>
      </c>
    </row>
    <row r="178" spans="1:21" x14ac:dyDescent="0.35">
      <c r="A178" s="9" t="s">
        <v>149</v>
      </c>
      <c r="B178" s="9" t="s">
        <v>147</v>
      </c>
      <c r="C178" s="9" t="s">
        <v>155</v>
      </c>
      <c r="D178" s="9" t="s">
        <v>153</v>
      </c>
      <c r="E178" s="10">
        <v>4.62</v>
      </c>
      <c r="F178" s="16">
        <v>0.52549999999999997</v>
      </c>
      <c r="G178" s="16">
        <v>0.64319999999999988</v>
      </c>
      <c r="H178" s="12">
        <v>503</v>
      </c>
      <c r="I178" s="12">
        <v>503</v>
      </c>
      <c r="J178" s="10">
        <v>1510511.62</v>
      </c>
      <c r="K178" s="10">
        <v>3003.01</v>
      </c>
      <c r="L178" s="12">
        <v>0</v>
      </c>
      <c r="M178" s="16">
        <v>0</v>
      </c>
      <c r="N178" s="12">
        <v>0</v>
      </c>
      <c r="O178" s="16">
        <v>0</v>
      </c>
      <c r="P178" s="12">
        <v>503</v>
      </c>
      <c r="Q178" s="16">
        <v>1</v>
      </c>
      <c r="R178" s="10"/>
      <c r="S178" s="10"/>
      <c r="T178" s="10">
        <v>0</v>
      </c>
      <c r="U178" s="10">
        <v>0</v>
      </c>
    </row>
    <row r="179" spans="1:21" x14ac:dyDescent="0.35">
      <c r="A179" s="6" t="s">
        <v>146</v>
      </c>
      <c r="B179" s="6" t="s">
        <v>140</v>
      </c>
      <c r="C179" s="6" t="s">
        <v>155</v>
      </c>
      <c r="D179" s="6" t="s">
        <v>153</v>
      </c>
      <c r="E179" s="7">
        <v>4.63</v>
      </c>
      <c r="F179" s="18">
        <v>0.53659999999999997</v>
      </c>
      <c r="G179" s="18">
        <v>0.65090000000000003</v>
      </c>
      <c r="H179" s="13">
        <v>500</v>
      </c>
      <c r="I179" s="13">
        <v>500</v>
      </c>
      <c r="J179" s="7">
        <v>1505971.63</v>
      </c>
      <c r="K179" s="7">
        <v>3011.94</v>
      </c>
      <c r="L179" s="13">
        <v>0</v>
      </c>
      <c r="M179" s="18">
        <v>0</v>
      </c>
      <c r="N179" s="13">
        <v>0</v>
      </c>
      <c r="O179" s="18">
        <v>0</v>
      </c>
      <c r="P179" s="13">
        <v>500</v>
      </c>
      <c r="Q179" s="18">
        <v>1</v>
      </c>
      <c r="R179" s="7"/>
      <c r="S179" s="7"/>
      <c r="T179" s="7">
        <v>0</v>
      </c>
      <c r="U179" s="7">
        <v>0</v>
      </c>
    </row>
    <row r="180" spans="1:21" x14ac:dyDescent="0.35">
      <c r="A180" s="9" t="s">
        <v>149</v>
      </c>
      <c r="B180" s="9" t="s">
        <v>151</v>
      </c>
      <c r="C180" s="9" t="s">
        <v>155</v>
      </c>
      <c r="D180" s="9" t="s">
        <v>153</v>
      </c>
      <c r="E180" s="10">
        <v>4.6900000000000004</v>
      </c>
      <c r="F180" s="16">
        <v>0.54669999999999996</v>
      </c>
      <c r="G180" s="16">
        <v>0.64119999999999999</v>
      </c>
      <c r="H180" s="12">
        <v>445</v>
      </c>
      <c r="I180" s="12">
        <v>445</v>
      </c>
      <c r="J180" s="10">
        <v>1505099.62</v>
      </c>
      <c r="K180" s="10">
        <v>3382.25</v>
      </c>
      <c r="L180" s="12">
        <v>0</v>
      </c>
      <c r="M180" s="16">
        <v>0</v>
      </c>
      <c r="N180" s="12">
        <v>0</v>
      </c>
      <c r="O180" s="16">
        <v>0</v>
      </c>
      <c r="P180" s="12">
        <v>445</v>
      </c>
      <c r="Q180" s="16">
        <v>1</v>
      </c>
      <c r="R180" s="10"/>
      <c r="S180" s="10"/>
      <c r="T180" s="10">
        <v>0</v>
      </c>
      <c r="U180" s="10">
        <v>0</v>
      </c>
    </row>
    <row r="181" spans="1:21" x14ac:dyDescent="0.35">
      <c r="A181" s="6" t="s">
        <v>143</v>
      </c>
      <c r="B181" s="6" t="s">
        <v>140</v>
      </c>
      <c r="C181" s="6" t="s">
        <v>141</v>
      </c>
      <c r="D181" s="6" t="s">
        <v>156</v>
      </c>
      <c r="E181" s="7">
        <v>1.65</v>
      </c>
      <c r="F181" s="18">
        <v>4.4299999999999999E-2</v>
      </c>
      <c r="G181" s="18">
        <v>0.64939999999999998</v>
      </c>
      <c r="H181" s="13">
        <v>330</v>
      </c>
      <c r="I181" s="13">
        <v>330</v>
      </c>
      <c r="J181" s="7">
        <v>1477059.34</v>
      </c>
      <c r="K181" s="7">
        <v>4475.9399999999996</v>
      </c>
      <c r="L181" s="13">
        <v>0</v>
      </c>
      <c r="M181" s="18">
        <v>0</v>
      </c>
      <c r="N181" s="13">
        <v>330</v>
      </c>
      <c r="O181" s="18">
        <v>1</v>
      </c>
      <c r="P181" s="13">
        <v>0</v>
      </c>
      <c r="Q181" s="18">
        <v>0</v>
      </c>
      <c r="R181" s="7"/>
      <c r="S181" s="7">
        <v>4475.9373939393936</v>
      </c>
      <c r="T181" s="7">
        <v>0</v>
      </c>
      <c r="U181" s="7">
        <v>223.41688723216771</v>
      </c>
    </row>
    <row r="182" spans="1:21" x14ac:dyDescent="0.35">
      <c r="A182" s="9" t="s">
        <v>150</v>
      </c>
      <c r="B182" s="9" t="s">
        <v>144</v>
      </c>
      <c r="C182" s="9" t="s">
        <v>155</v>
      </c>
      <c r="D182" s="9" t="s">
        <v>153</v>
      </c>
      <c r="E182" s="10">
        <v>4.6500000000000004</v>
      </c>
      <c r="F182" s="16">
        <v>0.53010000000000002</v>
      </c>
      <c r="G182" s="16">
        <v>0.64410000000000001</v>
      </c>
      <c r="H182" s="12">
        <v>453</v>
      </c>
      <c r="I182" s="12">
        <v>453</v>
      </c>
      <c r="J182" s="10">
        <v>1465270.59</v>
      </c>
      <c r="K182" s="10">
        <v>3234.59</v>
      </c>
      <c r="L182" s="12">
        <v>0</v>
      </c>
      <c r="M182" s="16">
        <v>0</v>
      </c>
      <c r="N182" s="12">
        <v>0</v>
      </c>
      <c r="O182" s="16">
        <v>0</v>
      </c>
      <c r="P182" s="12">
        <v>453</v>
      </c>
      <c r="Q182" s="16">
        <v>1</v>
      </c>
      <c r="R182" s="10"/>
      <c r="S182" s="10"/>
      <c r="T182" s="10">
        <v>0</v>
      </c>
      <c r="U182" s="10">
        <v>0</v>
      </c>
    </row>
    <row r="183" spans="1:21" x14ac:dyDescent="0.35">
      <c r="A183" s="6" t="s">
        <v>139</v>
      </c>
      <c r="B183" s="6" t="s">
        <v>147</v>
      </c>
      <c r="C183" s="6" t="s">
        <v>155</v>
      </c>
      <c r="D183" s="6" t="s">
        <v>153</v>
      </c>
      <c r="E183" s="7">
        <v>4.6399999999999997</v>
      </c>
      <c r="F183" s="18">
        <v>0.51819999999999999</v>
      </c>
      <c r="G183" s="18">
        <v>0.64329999999999998</v>
      </c>
      <c r="H183" s="13">
        <v>465</v>
      </c>
      <c r="I183" s="13">
        <v>465</v>
      </c>
      <c r="J183" s="7">
        <v>1439699.24</v>
      </c>
      <c r="K183" s="7">
        <v>3096.13</v>
      </c>
      <c r="L183" s="13">
        <v>0</v>
      </c>
      <c r="M183" s="18">
        <v>0</v>
      </c>
      <c r="N183" s="13">
        <v>0</v>
      </c>
      <c r="O183" s="18">
        <v>0</v>
      </c>
      <c r="P183" s="13">
        <v>465</v>
      </c>
      <c r="Q183" s="18">
        <v>1</v>
      </c>
      <c r="R183" s="7"/>
      <c r="S183" s="7"/>
      <c r="T183" s="7">
        <v>0</v>
      </c>
      <c r="U183" s="7">
        <v>0</v>
      </c>
    </row>
    <row r="184" spans="1:21" x14ac:dyDescent="0.35">
      <c r="A184" s="9" t="s">
        <v>149</v>
      </c>
      <c r="B184" s="9" t="s">
        <v>140</v>
      </c>
      <c r="C184" s="9" t="s">
        <v>141</v>
      </c>
      <c r="D184" s="9" t="s">
        <v>156</v>
      </c>
      <c r="E184" s="10">
        <v>1.59</v>
      </c>
      <c r="F184" s="16">
        <v>4.7500000000000001E-2</v>
      </c>
      <c r="G184" s="16">
        <v>0.64939999999999998</v>
      </c>
      <c r="H184" s="12">
        <v>336</v>
      </c>
      <c r="I184" s="12">
        <v>336</v>
      </c>
      <c r="J184" s="10">
        <v>1439026.05</v>
      </c>
      <c r="K184" s="10">
        <v>4282.82</v>
      </c>
      <c r="L184" s="12">
        <v>0</v>
      </c>
      <c r="M184" s="16">
        <v>0</v>
      </c>
      <c r="N184" s="12">
        <v>336</v>
      </c>
      <c r="O184" s="16">
        <v>1</v>
      </c>
      <c r="P184" s="12">
        <v>0</v>
      </c>
      <c r="Q184" s="16">
        <v>0</v>
      </c>
      <c r="R184" s="10"/>
      <c r="S184" s="10">
        <v>4282.8156250000002</v>
      </c>
      <c r="T184" s="10">
        <v>0</v>
      </c>
      <c r="U184" s="10">
        <v>233.49125611728849</v>
      </c>
    </row>
    <row r="185" spans="1:21" x14ac:dyDescent="0.35">
      <c r="A185" s="6" t="s">
        <v>150</v>
      </c>
      <c r="B185" s="6" t="s">
        <v>147</v>
      </c>
      <c r="C185" s="6" t="s">
        <v>141</v>
      </c>
      <c r="D185" s="6" t="s">
        <v>156</v>
      </c>
      <c r="E185" s="7">
        <v>1.55</v>
      </c>
      <c r="F185" s="18">
        <v>4.1900000000000007E-2</v>
      </c>
      <c r="G185" s="18">
        <v>0.65069999999999995</v>
      </c>
      <c r="H185" s="13">
        <v>359</v>
      </c>
      <c r="I185" s="13">
        <v>359</v>
      </c>
      <c r="J185" s="7">
        <v>1412767.63</v>
      </c>
      <c r="K185" s="7">
        <v>3935.29</v>
      </c>
      <c r="L185" s="13">
        <v>0</v>
      </c>
      <c r="M185" s="18">
        <v>0</v>
      </c>
      <c r="N185" s="13">
        <v>359</v>
      </c>
      <c r="O185" s="18">
        <v>1</v>
      </c>
      <c r="P185" s="13">
        <v>0</v>
      </c>
      <c r="Q185" s="18">
        <v>0</v>
      </c>
      <c r="R185" s="7"/>
      <c r="S185" s="7">
        <v>3935.2858774373258</v>
      </c>
      <c r="T185" s="7">
        <v>0</v>
      </c>
      <c r="U185" s="7">
        <v>254.111144944622</v>
      </c>
    </row>
    <row r="186" spans="1:21" x14ac:dyDescent="0.35">
      <c r="A186" s="9" t="s">
        <v>139</v>
      </c>
      <c r="B186" s="9" t="s">
        <v>148</v>
      </c>
      <c r="C186" s="9" t="s">
        <v>154</v>
      </c>
      <c r="D186" s="9" t="s">
        <v>156</v>
      </c>
      <c r="E186" s="10">
        <v>1.6</v>
      </c>
      <c r="F186" s="16">
        <v>4.1900000000000007E-2</v>
      </c>
      <c r="G186" s="16">
        <v>0.65319999999999989</v>
      </c>
      <c r="H186" s="12">
        <v>319</v>
      </c>
      <c r="I186" s="12">
        <v>319</v>
      </c>
      <c r="J186" s="10">
        <v>1410430.9</v>
      </c>
      <c r="K186" s="10">
        <v>4421.41</v>
      </c>
      <c r="L186" s="12">
        <v>0</v>
      </c>
      <c r="M186" s="16">
        <v>0</v>
      </c>
      <c r="N186" s="12">
        <v>0</v>
      </c>
      <c r="O186" s="16">
        <v>0</v>
      </c>
      <c r="P186" s="12">
        <v>319</v>
      </c>
      <c r="Q186" s="16">
        <v>1</v>
      </c>
      <c r="R186" s="10"/>
      <c r="S186" s="10"/>
      <c r="T186" s="10">
        <v>0</v>
      </c>
      <c r="U186" s="10">
        <v>0</v>
      </c>
    </row>
    <row r="187" spans="1:21" x14ac:dyDescent="0.35">
      <c r="A187" s="6" t="s">
        <v>143</v>
      </c>
      <c r="B187" s="6" t="s">
        <v>148</v>
      </c>
      <c r="C187" s="6" t="s">
        <v>141</v>
      </c>
      <c r="D187" s="6" t="s">
        <v>156</v>
      </c>
      <c r="E187" s="7">
        <v>1.66</v>
      </c>
      <c r="F187" s="18">
        <v>4.5400000000000003E-2</v>
      </c>
      <c r="G187" s="18">
        <v>0.64390000000000003</v>
      </c>
      <c r="H187" s="13">
        <v>350</v>
      </c>
      <c r="I187" s="13">
        <v>350</v>
      </c>
      <c r="J187" s="7">
        <v>1407129.7</v>
      </c>
      <c r="K187" s="7">
        <v>4020.37</v>
      </c>
      <c r="L187" s="13">
        <v>0</v>
      </c>
      <c r="M187" s="18">
        <v>0</v>
      </c>
      <c r="N187" s="13">
        <v>350</v>
      </c>
      <c r="O187" s="18">
        <v>1</v>
      </c>
      <c r="P187" s="13">
        <v>0</v>
      </c>
      <c r="Q187" s="18">
        <v>0</v>
      </c>
      <c r="R187" s="7"/>
      <c r="S187" s="7">
        <v>4020.3705714285711</v>
      </c>
      <c r="T187" s="7">
        <v>0</v>
      </c>
      <c r="U187" s="7">
        <v>248.73329018639859</v>
      </c>
    </row>
    <row r="188" spans="1:21" x14ac:dyDescent="0.35">
      <c r="A188" s="9" t="s">
        <v>143</v>
      </c>
      <c r="B188" s="9" t="s">
        <v>140</v>
      </c>
      <c r="C188" s="9" t="s">
        <v>155</v>
      </c>
      <c r="D188" s="9" t="s">
        <v>153</v>
      </c>
      <c r="E188" s="10">
        <v>4.6399999999999997</v>
      </c>
      <c r="F188" s="16">
        <v>0.53939999999999999</v>
      </c>
      <c r="G188" s="16">
        <v>0.65670000000000006</v>
      </c>
      <c r="H188" s="12">
        <v>467</v>
      </c>
      <c r="I188" s="12">
        <v>467</v>
      </c>
      <c r="J188" s="10">
        <v>1400572.23</v>
      </c>
      <c r="K188" s="10">
        <v>2999.08</v>
      </c>
      <c r="L188" s="12">
        <v>0</v>
      </c>
      <c r="M188" s="16">
        <v>0</v>
      </c>
      <c r="N188" s="12">
        <v>0</v>
      </c>
      <c r="O188" s="16">
        <v>0</v>
      </c>
      <c r="P188" s="12">
        <v>467</v>
      </c>
      <c r="Q188" s="16">
        <v>1</v>
      </c>
      <c r="R188" s="10"/>
      <c r="S188" s="10"/>
      <c r="T188" s="10">
        <v>0</v>
      </c>
      <c r="U188" s="10">
        <v>0</v>
      </c>
    </row>
    <row r="189" spans="1:21" x14ac:dyDescent="0.35">
      <c r="A189" s="6" t="s">
        <v>149</v>
      </c>
      <c r="B189" s="6" t="s">
        <v>140</v>
      </c>
      <c r="C189" s="6" t="s">
        <v>155</v>
      </c>
      <c r="D189" s="6" t="s">
        <v>153</v>
      </c>
      <c r="E189" s="7">
        <v>4.53</v>
      </c>
      <c r="F189" s="18">
        <v>0.50270000000000004</v>
      </c>
      <c r="G189" s="18">
        <v>0.64190000000000003</v>
      </c>
      <c r="H189" s="13">
        <v>469</v>
      </c>
      <c r="I189" s="13">
        <v>469</v>
      </c>
      <c r="J189" s="7">
        <v>1378818.42</v>
      </c>
      <c r="K189" s="7">
        <v>2939.91</v>
      </c>
      <c r="L189" s="13">
        <v>0</v>
      </c>
      <c r="M189" s="18">
        <v>0</v>
      </c>
      <c r="N189" s="13">
        <v>0</v>
      </c>
      <c r="O189" s="18">
        <v>0</v>
      </c>
      <c r="P189" s="13">
        <v>469</v>
      </c>
      <c r="Q189" s="18">
        <v>1</v>
      </c>
      <c r="R189" s="7"/>
      <c r="S189" s="7"/>
      <c r="T189" s="7">
        <v>0</v>
      </c>
      <c r="U189" s="7">
        <v>0</v>
      </c>
    </row>
    <row r="190" spans="1:21" x14ac:dyDescent="0.35">
      <c r="A190" s="9" t="s">
        <v>139</v>
      </c>
      <c r="B190" s="9" t="s">
        <v>144</v>
      </c>
      <c r="C190" s="9" t="s">
        <v>155</v>
      </c>
      <c r="D190" s="9" t="s">
        <v>153</v>
      </c>
      <c r="E190" s="10">
        <v>4.5999999999999996</v>
      </c>
      <c r="F190" s="16">
        <v>0.52070000000000005</v>
      </c>
      <c r="G190" s="16">
        <v>0.6502</v>
      </c>
      <c r="H190" s="12">
        <v>500</v>
      </c>
      <c r="I190" s="12">
        <v>500</v>
      </c>
      <c r="J190" s="10">
        <v>1346898.52</v>
      </c>
      <c r="K190" s="10">
        <v>2693.8</v>
      </c>
      <c r="L190" s="12">
        <v>0</v>
      </c>
      <c r="M190" s="16">
        <v>0</v>
      </c>
      <c r="N190" s="12">
        <v>0</v>
      </c>
      <c r="O190" s="16">
        <v>0</v>
      </c>
      <c r="P190" s="12">
        <v>500</v>
      </c>
      <c r="Q190" s="16">
        <v>1</v>
      </c>
      <c r="R190" s="10"/>
      <c r="S190" s="10"/>
      <c r="T190" s="10">
        <v>0</v>
      </c>
      <c r="U190" s="10">
        <v>0</v>
      </c>
    </row>
    <row r="191" spans="1:21" x14ac:dyDescent="0.35">
      <c r="A191" s="6" t="s">
        <v>149</v>
      </c>
      <c r="B191" s="6" t="s">
        <v>144</v>
      </c>
      <c r="C191" s="6" t="s">
        <v>155</v>
      </c>
      <c r="D191" s="6" t="s">
        <v>153</v>
      </c>
      <c r="E191" s="7">
        <v>4.6500000000000004</v>
      </c>
      <c r="F191" s="18">
        <v>0.54</v>
      </c>
      <c r="G191" s="18">
        <v>0.65610000000000002</v>
      </c>
      <c r="H191" s="13">
        <v>477</v>
      </c>
      <c r="I191" s="13">
        <v>477</v>
      </c>
      <c r="J191" s="7">
        <v>1315541.6599999999</v>
      </c>
      <c r="K191" s="7">
        <v>2757.95</v>
      </c>
      <c r="L191" s="13">
        <v>0</v>
      </c>
      <c r="M191" s="18">
        <v>0</v>
      </c>
      <c r="N191" s="13">
        <v>0</v>
      </c>
      <c r="O191" s="18">
        <v>0</v>
      </c>
      <c r="P191" s="13">
        <v>477</v>
      </c>
      <c r="Q191" s="18">
        <v>1</v>
      </c>
      <c r="R191" s="7"/>
      <c r="S191" s="7"/>
      <c r="T191" s="7">
        <v>0</v>
      </c>
      <c r="U191" s="7">
        <v>0</v>
      </c>
    </row>
    <row r="192" spans="1:21" x14ac:dyDescent="0.35">
      <c r="A192" s="9" t="s">
        <v>150</v>
      </c>
      <c r="B192" s="9" t="s">
        <v>151</v>
      </c>
      <c r="C192" s="9" t="s">
        <v>154</v>
      </c>
      <c r="D192" s="9" t="s">
        <v>156</v>
      </c>
      <c r="E192" s="10">
        <v>1.57</v>
      </c>
      <c r="F192" s="16">
        <v>3.5200000000000002E-2</v>
      </c>
      <c r="G192" s="16">
        <v>0.65300000000000002</v>
      </c>
      <c r="H192" s="12">
        <v>320</v>
      </c>
      <c r="I192" s="12">
        <v>320</v>
      </c>
      <c r="J192" s="10">
        <v>1315085.56</v>
      </c>
      <c r="K192" s="10">
        <v>4109.6400000000003</v>
      </c>
      <c r="L192" s="12">
        <v>0</v>
      </c>
      <c r="M192" s="16">
        <v>0</v>
      </c>
      <c r="N192" s="12">
        <v>0</v>
      </c>
      <c r="O192" s="16">
        <v>0</v>
      </c>
      <c r="P192" s="12">
        <v>320</v>
      </c>
      <c r="Q192" s="16">
        <v>1</v>
      </c>
      <c r="R192" s="10"/>
      <c r="S192" s="10"/>
      <c r="T192" s="10">
        <v>0</v>
      </c>
      <c r="U192" s="10">
        <v>0</v>
      </c>
    </row>
    <row r="193" spans="1:21" x14ac:dyDescent="0.35">
      <c r="A193" s="6" t="s">
        <v>149</v>
      </c>
      <c r="B193" s="6" t="s">
        <v>148</v>
      </c>
      <c r="C193" s="6" t="s">
        <v>141</v>
      </c>
      <c r="D193" s="6" t="s">
        <v>156</v>
      </c>
      <c r="E193" s="7">
        <v>1.63</v>
      </c>
      <c r="F193" s="18">
        <v>4.3299999999999998E-2</v>
      </c>
      <c r="G193" s="18">
        <v>0.64670000000000005</v>
      </c>
      <c r="H193" s="13">
        <v>351</v>
      </c>
      <c r="I193" s="13">
        <v>351</v>
      </c>
      <c r="J193" s="7">
        <v>1313434.69</v>
      </c>
      <c r="K193" s="7">
        <v>3741.98</v>
      </c>
      <c r="L193" s="13">
        <v>0</v>
      </c>
      <c r="M193" s="18">
        <v>0</v>
      </c>
      <c r="N193" s="13">
        <v>351</v>
      </c>
      <c r="O193" s="18">
        <v>1</v>
      </c>
      <c r="P193" s="13">
        <v>0</v>
      </c>
      <c r="Q193" s="18">
        <v>0</v>
      </c>
      <c r="R193" s="7"/>
      <c r="S193" s="7">
        <v>3741.9791737891742</v>
      </c>
      <c r="T193" s="7">
        <v>0</v>
      </c>
      <c r="U193" s="7">
        <v>267.2382591021713</v>
      </c>
    </row>
    <row r="194" spans="1:21" x14ac:dyDescent="0.35">
      <c r="A194" s="9" t="s">
        <v>150</v>
      </c>
      <c r="B194" s="9" t="s">
        <v>151</v>
      </c>
      <c r="C194" s="9" t="s">
        <v>141</v>
      </c>
      <c r="D194" s="9" t="s">
        <v>156</v>
      </c>
      <c r="E194" s="10">
        <v>1.62</v>
      </c>
      <c r="F194" s="16">
        <v>4.3499999999999997E-2</v>
      </c>
      <c r="G194" s="16">
        <v>0.65189999999999992</v>
      </c>
      <c r="H194" s="12">
        <v>345</v>
      </c>
      <c r="I194" s="12">
        <v>345</v>
      </c>
      <c r="J194" s="10">
        <v>1310831.6499999999</v>
      </c>
      <c r="K194" s="10">
        <v>3799.51</v>
      </c>
      <c r="L194" s="12">
        <v>0</v>
      </c>
      <c r="M194" s="16">
        <v>0</v>
      </c>
      <c r="N194" s="12">
        <v>345</v>
      </c>
      <c r="O194" s="16">
        <v>1</v>
      </c>
      <c r="P194" s="12">
        <v>0</v>
      </c>
      <c r="Q194" s="16">
        <v>0</v>
      </c>
      <c r="R194" s="10"/>
      <c r="S194" s="10">
        <v>3799.5120289855072</v>
      </c>
      <c r="T194" s="10">
        <v>0</v>
      </c>
      <c r="U194" s="10">
        <v>263.19169208341901</v>
      </c>
    </row>
    <row r="195" spans="1:21" x14ac:dyDescent="0.35">
      <c r="A195" s="6" t="s">
        <v>149</v>
      </c>
      <c r="B195" s="6" t="s">
        <v>145</v>
      </c>
      <c r="C195" s="6" t="s">
        <v>141</v>
      </c>
      <c r="D195" s="6" t="s">
        <v>156</v>
      </c>
      <c r="E195" s="7">
        <v>1.59</v>
      </c>
      <c r="F195" s="18">
        <v>3.9399999999999998E-2</v>
      </c>
      <c r="G195" s="18">
        <v>0.66590000000000005</v>
      </c>
      <c r="H195" s="13">
        <v>345</v>
      </c>
      <c r="I195" s="13">
        <v>345</v>
      </c>
      <c r="J195" s="7">
        <v>1299206.71</v>
      </c>
      <c r="K195" s="7">
        <v>3765.82</v>
      </c>
      <c r="L195" s="13">
        <v>0</v>
      </c>
      <c r="M195" s="18">
        <v>0</v>
      </c>
      <c r="N195" s="13">
        <v>345</v>
      </c>
      <c r="O195" s="18">
        <v>1</v>
      </c>
      <c r="P195" s="13">
        <v>0</v>
      </c>
      <c r="Q195" s="18">
        <v>0</v>
      </c>
      <c r="R195" s="7"/>
      <c r="S195" s="7">
        <v>3765.8165507246381</v>
      </c>
      <c r="T195" s="7">
        <v>0</v>
      </c>
      <c r="U195" s="7">
        <v>265.54665808337768</v>
      </c>
    </row>
    <row r="196" spans="1:21" x14ac:dyDescent="0.35">
      <c r="A196" s="9" t="s">
        <v>146</v>
      </c>
      <c r="B196" s="9" t="s">
        <v>148</v>
      </c>
      <c r="C196" s="9" t="s">
        <v>141</v>
      </c>
      <c r="D196" s="9" t="s">
        <v>156</v>
      </c>
      <c r="E196" s="10">
        <v>1.58</v>
      </c>
      <c r="F196" s="16">
        <v>4.3999999999999997E-2</v>
      </c>
      <c r="G196" s="16">
        <v>0.64370000000000005</v>
      </c>
      <c r="H196" s="12">
        <v>401</v>
      </c>
      <c r="I196" s="12">
        <v>401</v>
      </c>
      <c r="J196" s="10">
        <v>1297701.79</v>
      </c>
      <c r="K196" s="10">
        <v>3236.16</v>
      </c>
      <c r="L196" s="12">
        <v>0</v>
      </c>
      <c r="M196" s="16">
        <v>0</v>
      </c>
      <c r="N196" s="12">
        <v>401</v>
      </c>
      <c r="O196" s="16">
        <v>1</v>
      </c>
      <c r="P196" s="12">
        <v>0</v>
      </c>
      <c r="Q196" s="16">
        <v>0</v>
      </c>
      <c r="R196" s="10"/>
      <c r="S196" s="10">
        <v>3236.1640648379048</v>
      </c>
      <c r="T196" s="10">
        <v>0</v>
      </c>
      <c r="U196" s="10">
        <v>309.00781912306678</v>
      </c>
    </row>
    <row r="197" spans="1:21" x14ac:dyDescent="0.35">
      <c r="A197" s="6" t="s">
        <v>146</v>
      </c>
      <c r="B197" s="6" t="s">
        <v>151</v>
      </c>
      <c r="C197" s="6" t="s">
        <v>141</v>
      </c>
      <c r="D197" s="6" t="s">
        <v>156</v>
      </c>
      <c r="E197" s="7">
        <v>1.6</v>
      </c>
      <c r="F197" s="18">
        <v>4.5900000000000003E-2</v>
      </c>
      <c r="G197" s="18">
        <v>0.65489999999999993</v>
      </c>
      <c r="H197" s="13">
        <v>374</v>
      </c>
      <c r="I197" s="13">
        <v>374</v>
      </c>
      <c r="J197" s="7">
        <v>1279752.01</v>
      </c>
      <c r="K197" s="7">
        <v>3421.8</v>
      </c>
      <c r="L197" s="13">
        <v>0</v>
      </c>
      <c r="M197" s="18">
        <v>0</v>
      </c>
      <c r="N197" s="13">
        <v>374</v>
      </c>
      <c r="O197" s="18">
        <v>1</v>
      </c>
      <c r="P197" s="13">
        <v>0</v>
      </c>
      <c r="Q197" s="18">
        <v>0</v>
      </c>
      <c r="R197" s="7"/>
      <c r="S197" s="7">
        <v>3421.7968181818178</v>
      </c>
      <c r="T197" s="7">
        <v>0</v>
      </c>
      <c r="U197" s="7">
        <v>292.24412001509569</v>
      </c>
    </row>
    <row r="198" spans="1:21" x14ac:dyDescent="0.35">
      <c r="A198" s="9" t="s">
        <v>149</v>
      </c>
      <c r="B198" s="9" t="s">
        <v>147</v>
      </c>
      <c r="C198" s="9" t="s">
        <v>141</v>
      </c>
      <c r="D198" s="9" t="s">
        <v>156</v>
      </c>
      <c r="E198" s="10">
        <v>1.62</v>
      </c>
      <c r="F198" s="16">
        <v>4.1799999999999997E-2</v>
      </c>
      <c r="G198" s="16">
        <v>0.64540000000000008</v>
      </c>
      <c r="H198" s="12">
        <v>363</v>
      </c>
      <c r="I198" s="12">
        <v>363</v>
      </c>
      <c r="J198" s="10">
        <v>1273531.17</v>
      </c>
      <c r="K198" s="10">
        <v>3508.35</v>
      </c>
      <c r="L198" s="12">
        <v>0</v>
      </c>
      <c r="M198" s="16">
        <v>0</v>
      </c>
      <c r="N198" s="12">
        <v>363</v>
      </c>
      <c r="O198" s="16">
        <v>1</v>
      </c>
      <c r="P198" s="12">
        <v>0</v>
      </c>
      <c r="Q198" s="16">
        <v>0</v>
      </c>
      <c r="R198" s="10"/>
      <c r="S198" s="10">
        <v>3508.3503305785121</v>
      </c>
      <c r="T198" s="10">
        <v>0</v>
      </c>
      <c r="U198" s="10">
        <v>285.03424851391742</v>
      </c>
    </row>
    <row r="199" spans="1:21" x14ac:dyDescent="0.35">
      <c r="A199" s="6" t="s">
        <v>139</v>
      </c>
      <c r="B199" s="6" t="s">
        <v>148</v>
      </c>
      <c r="C199" s="6" t="s">
        <v>141</v>
      </c>
      <c r="D199" s="6" t="s">
        <v>156</v>
      </c>
      <c r="E199" s="7">
        <v>1.62</v>
      </c>
      <c r="F199" s="18">
        <v>4.6600000000000003E-2</v>
      </c>
      <c r="G199" s="18">
        <v>0.65</v>
      </c>
      <c r="H199" s="13">
        <v>382</v>
      </c>
      <c r="I199" s="13">
        <v>382</v>
      </c>
      <c r="J199" s="7">
        <v>1268162.1399999999</v>
      </c>
      <c r="K199" s="7">
        <v>3319.8</v>
      </c>
      <c r="L199" s="13">
        <v>0</v>
      </c>
      <c r="M199" s="18">
        <v>0</v>
      </c>
      <c r="N199" s="13">
        <v>382</v>
      </c>
      <c r="O199" s="18">
        <v>1</v>
      </c>
      <c r="P199" s="13">
        <v>0</v>
      </c>
      <c r="Q199" s="18">
        <v>0</v>
      </c>
      <c r="R199" s="7"/>
      <c r="S199" s="7">
        <v>3319.7961780104711</v>
      </c>
      <c r="T199" s="7">
        <v>0</v>
      </c>
      <c r="U199" s="7">
        <v>301.22331202853923</v>
      </c>
    </row>
    <row r="200" spans="1:21" x14ac:dyDescent="0.35">
      <c r="A200" s="9" t="s">
        <v>143</v>
      </c>
      <c r="B200" s="9" t="s">
        <v>147</v>
      </c>
      <c r="C200" s="9" t="s">
        <v>141</v>
      </c>
      <c r="D200" s="9" t="s">
        <v>156</v>
      </c>
      <c r="E200" s="10">
        <v>1.49</v>
      </c>
      <c r="F200" s="16">
        <v>3.3599999999999998E-2</v>
      </c>
      <c r="G200" s="16">
        <v>0.65720000000000001</v>
      </c>
      <c r="H200" s="12">
        <v>338</v>
      </c>
      <c r="I200" s="12">
        <v>338</v>
      </c>
      <c r="J200" s="10">
        <v>1267525.83</v>
      </c>
      <c r="K200" s="10">
        <v>3750.08</v>
      </c>
      <c r="L200" s="12">
        <v>0</v>
      </c>
      <c r="M200" s="16">
        <v>0</v>
      </c>
      <c r="N200" s="12">
        <v>338</v>
      </c>
      <c r="O200" s="16">
        <v>1</v>
      </c>
      <c r="P200" s="12">
        <v>0</v>
      </c>
      <c r="Q200" s="16">
        <v>0</v>
      </c>
      <c r="R200" s="10"/>
      <c r="S200" s="10">
        <v>3750.0764201183429</v>
      </c>
      <c r="T200" s="10">
        <v>0</v>
      </c>
      <c r="U200" s="10">
        <v>266.66123245788208</v>
      </c>
    </row>
    <row r="201" spans="1:21" x14ac:dyDescent="0.35">
      <c r="A201" s="6" t="s">
        <v>150</v>
      </c>
      <c r="B201" s="6" t="s">
        <v>147</v>
      </c>
      <c r="C201" s="6" t="s">
        <v>154</v>
      </c>
      <c r="D201" s="6" t="s">
        <v>156</v>
      </c>
      <c r="E201" s="7">
        <v>1.62</v>
      </c>
      <c r="F201" s="18">
        <v>4.82E-2</v>
      </c>
      <c r="G201" s="18">
        <v>0.64829999999999999</v>
      </c>
      <c r="H201" s="13">
        <v>292</v>
      </c>
      <c r="I201" s="13">
        <v>292</v>
      </c>
      <c r="J201" s="7">
        <v>1260183.42</v>
      </c>
      <c r="K201" s="7">
        <v>4315.7</v>
      </c>
      <c r="L201" s="13">
        <v>0</v>
      </c>
      <c r="M201" s="18">
        <v>0</v>
      </c>
      <c r="N201" s="13">
        <v>0</v>
      </c>
      <c r="O201" s="18">
        <v>0</v>
      </c>
      <c r="P201" s="13">
        <v>292</v>
      </c>
      <c r="Q201" s="18">
        <v>1</v>
      </c>
      <c r="R201" s="7"/>
      <c r="S201" s="7"/>
      <c r="T201" s="7">
        <v>0</v>
      </c>
      <c r="U201" s="7">
        <v>0</v>
      </c>
    </row>
    <row r="202" spans="1:21" x14ac:dyDescent="0.35">
      <c r="A202" s="9" t="s">
        <v>139</v>
      </c>
      <c r="B202" s="9" t="s">
        <v>145</v>
      </c>
      <c r="C202" s="9" t="s">
        <v>155</v>
      </c>
      <c r="D202" s="9" t="s">
        <v>153</v>
      </c>
      <c r="E202" s="10">
        <v>4.66</v>
      </c>
      <c r="F202" s="16">
        <v>0.52770000000000006</v>
      </c>
      <c r="G202" s="16">
        <v>0.64769999999999994</v>
      </c>
      <c r="H202" s="12">
        <v>497</v>
      </c>
      <c r="I202" s="12">
        <v>497</v>
      </c>
      <c r="J202" s="10">
        <v>1257318.8</v>
      </c>
      <c r="K202" s="10">
        <v>2529.8200000000002</v>
      </c>
      <c r="L202" s="12">
        <v>0</v>
      </c>
      <c r="M202" s="16">
        <v>0</v>
      </c>
      <c r="N202" s="12">
        <v>0</v>
      </c>
      <c r="O202" s="16">
        <v>0</v>
      </c>
      <c r="P202" s="12">
        <v>497</v>
      </c>
      <c r="Q202" s="16">
        <v>1</v>
      </c>
      <c r="R202" s="10"/>
      <c r="S202" s="10"/>
      <c r="T202" s="10">
        <v>0</v>
      </c>
      <c r="U202" s="10">
        <v>0</v>
      </c>
    </row>
    <row r="203" spans="1:21" x14ac:dyDescent="0.35">
      <c r="A203" s="6" t="s">
        <v>143</v>
      </c>
      <c r="B203" s="6" t="s">
        <v>148</v>
      </c>
      <c r="C203" s="6" t="s">
        <v>154</v>
      </c>
      <c r="D203" s="6" t="s">
        <v>156</v>
      </c>
      <c r="E203" s="7">
        <v>1.52</v>
      </c>
      <c r="F203" s="18">
        <v>3.2599999999999997E-2</v>
      </c>
      <c r="G203" s="18">
        <v>0.65489999999999993</v>
      </c>
      <c r="H203" s="13">
        <v>331</v>
      </c>
      <c r="I203" s="13">
        <v>331</v>
      </c>
      <c r="J203" s="7">
        <v>1254700.81</v>
      </c>
      <c r="K203" s="7">
        <v>3790.64</v>
      </c>
      <c r="L203" s="13">
        <v>0</v>
      </c>
      <c r="M203" s="18">
        <v>0</v>
      </c>
      <c r="N203" s="13">
        <v>0</v>
      </c>
      <c r="O203" s="18">
        <v>0</v>
      </c>
      <c r="P203" s="13">
        <v>331</v>
      </c>
      <c r="Q203" s="18">
        <v>1</v>
      </c>
      <c r="R203" s="7"/>
      <c r="S203" s="7"/>
      <c r="T203" s="7">
        <v>0</v>
      </c>
      <c r="U203" s="7">
        <v>0</v>
      </c>
    </row>
    <row r="204" spans="1:21" x14ac:dyDescent="0.35">
      <c r="A204" s="9" t="s">
        <v>139</v>
      </c>
      <c r="B204" s="9" t="s">
        <v>145</v>
      </c>
      <c r="C204" s="9" t="s">
        <v>141</v>
      </c>
      <c r="D204" s="9" t="s">
        <v>156</v>
      </c>
      <c r="E204" s="10">
        <v>1.74</v>
      </c>
      <c r="F204" s="16">
        <v>5.1700000000000003E-2</v>
      </c>
      <c r="G204" s="16">
        <v>0.65180000000000005</v>
      </c>
      <c r="H204" s="12">
        <v>318</v>
      </c>
      <c r="I204" s="12">
        <v>318</v>
      </c>
      <c r="J204" s="10">
        <v>1253944.54</v>
      </c>
      <c r="K204" s="10">
        <v>3943.22</v>
      </c>
      <c r="L204" s="12">
        <v>0</v>
      </c>
      <c r="M204" s="16">
        <v>0</v>
      </c>
      <c r="N204" s="12">
        <v>318</v>
      </c>
      <c r="O204" s="16">
        <v>1</v>
      </c>
      <c r="P204" s="12">
        <v>0</v>
      </c>
      <c r="Q204" s="16">
        <v>0</v>
      </c>
      <c r="R204" s="10"/>
      <c r="S204" s="10">
        <v>3943.221823899371</v>
      </c>
      <c r="T204" s="10">
        <v>0</v>
      </c>
      <c r="U204" s="10">
        <v>253.5997325687147</v>
      </c>
    </row>
    <row r="205" spans="1:21" x14ac:dyDescent="0.35">
      <c r="A205" s="6" t="s">
        <v>149</v>
      </c>
      <c r="B205" s="6" t="s">
        <v>145</v>
      </c>
      <c r="C205" s="6" t="s">
        <v>154</v>
      </c>
      <c r="D205" s="6" t="s">
        <v>156</v>
      </c>
      <c r="E205" s="7">
        <v>1.6</v>
      </c>
      <c r="F205" s="18">
        <v>4.3799999999999999E-2</v>
      </c>
      <c r="G205" s="18">
        <v>0.66079999999999994</v>
      </c>
      <c r="H205" s="13">
        <v>338</v>
      </c>
      <c r="I205" s="13">
        <v>338</v>
      </c>
      <c r="J205" s="7">
        <v>1253323.04</v>
      </c>
      <c r="K205" s="7">
        <v>3708.06</v>
      </c>
      <c r="L205" s="13">
        <v>0</v>
      </c>
      <c r="M205" s="18">
        <v>0</v>
      </c>
      <c r="N205" s="13">
        <v>0</v>
      </c>
      <c r="O205" s="18">
        <v>0</v>
      </c>
      <c r="P205" s="13">
        <v>338</v>
      </c>
      <c r="Q205" s="18">
        <v>1</v>
      </c>
      <c r="R205" s="7"/>
      <c r="S205" s="7"/>
      <c r="T205" s="7">
        <v>0</v>
      </c>
      <c r="U205" s="7">
        <v>0</v>
      </c>
    </row>
    <row r="206" spans="1:21" x14ac:dyDescent="0.35">
      <c r="A206" s="9" t="s">
        <v>146</v>
      </c>
      <c r="B206" s="9" t="s">
        <v>144</v>
      </c>
      <c r="C206" s="9" t="s">
        <v>141</v>
      </c>
      <c r="D206" s="9" t="s">
        <v>156</v>
      </c>
      <c r="E206" s="10">
        <v>1.6</v>
      </c>
      <c r="F206" s="16">
        <v>4.1599999999999998E-2</v>
      </c>
      <c r="G206" s="16">
        <v>0.65260000000000007</v>
      </c>
      <c r="H206" s="12">
        <v>357</v>
      </c>
      <c r="I206" s="12">
        <v>357</v>
      </c>
      <c r="J206" s="10">
        <v>1238649.44</v>
      </c>
      <c r="K206" s="10">
        <v>3469.61</v>
      </c>
      <c r="L206" s="12">
        <v>0</v>
      </c>
      <c r="M206" s="16">
        <v>0</v>
      </c>
      <c r="N206" s="12">
        <v>357</v>
      </c>
      <c r="O206" s="16">
        <v>1</v>
      </c>
      <c r="P206" s="12">
        <v>0</v>
      </c>
      <c r="Q206" s="16">
        <v>0</v>
      </c>
      <c r="R206" s="10"/>
      <c r="S206" s="10">
        <v>3469.6062745098038</v>
      </c>
      <c r="T206" s="10">
        <v>0</v>
      </c>
      <c r="U206" s="10">
        <v>288.21714075937422</v>
      </c>
    </row>
    <row r="207" spans="1:21" x14ac:dyDescent="0.35">
      <c r="A207" s="6" t="s">
        <v>146</v>
      </c>
      <c r="B207" s="6" t="s">
        <v>140</v>
      </c>
      <c r="C207" s="6" t="s">
        <v>141</v>
      </c>
      <c r="D207" s="6" t="s">
        <v>156</v>
      </c>
      <c r="E207" s="7">
        <v>1.56</v>
      </c>
      <c r="F207" s="18">
        <v>3.7000000000000012E-2</v>
      </c>
      <c r="G207" s="18">
        <v>0.64629999999999999</v>
      </c>
      <c r="H207" s="13">
        <v>351</v>
      </c>
      <c r="I207" s="13">
        <v>351</v>
      </c>
      <c r="J207" s="7">
        <v>1234659.94</v>
      </c>
      <c r="K207" s="7">
        <v>3517.55</v>
      </c>
      <c r="L207" s="13">
        <v>0</v>
      </c>
      <c r="M207" s="18">
        <v>0</v>
      </c>
      <c r="N207" s="13">
        <v>351</v>
      </c>
      <c r="O207" s="18">
        <v>1</v>
      </c>
      <c r="P207" s="13">
        <v>0</v>
      </c>
      <c r="Q207" s="18">
        <v>0</v>
      </c>
      <c r="R207" s="7"/>
      <c r="S207" s="7">
        <v>3517.549686609686</v>
      </c>
      <c r="T207" s="7">
        <v>0</v>
      </c>
      <c r="U207" s="7">
        <v>284.28880587151798</v>
      </c>
    </row>
    <row r="208" spans="1:21" x14ac:dyDescent="0.35">
      <c r="A208" s="9" t="s">
        <v>149</v>
      </c>
      <c r="B208" s="9" t="s">
        <v>148</v>
      </c>
      <c r="C208" s="9" t="s">
        <v>154</v>
      </c>
      <c r="D208" s="9" t="s">
        <v>156</v>
      </c>
      <c r="E208" s="10">
        <v>1.56</v>
      </c>
      <c r="F208" s="16">
        <v>4.6699999999999998E-2</v>
      </c>
      <c r="G208" s="16">
        <v>0.64329999999999998</v>
      </c>
      <c r="H208" s="12">
        <v>282</v>
      </c>
      <c r="I208" s="12">
        <v>282</v>
      </c>
      <c r="J208" s="10">
        <v>1222691.57</v>
      </c>
      <c r="K208" s="10">
        <v>4335.79</v>
      </c>
      <c r="L208" s="12">
        <v>0</v>
      </c>
      <c r="M208" s="16">
        <v>0</v>
      </c>
      <c r="N208" s="12">
        <v>0</v>
      </c>
      <c r="O208" s="16">
        <v>0</v>
      </c>
      <c r="P208" s="12">
        <v>282</v>
      </c>
      <c r="Q208" s="16">
        <v>1</v>
      </c>
      <c r="R208" s="10"/>
      <c r="S208" s="10"/>
      <c r="T208" s="10">
        <v>0</v>
      </c>
      <c r="U208" s="10">
        <v>0</v>
      </c>
    </row>
    <row r="209" spans="1:21" x14ac:dyDescent="0.35">
      <c r="A209" s="6" t="s">
        <v>139</v>
      </c>
      <c r="B209" s="6" t="s">
        <v>144</v>
      </c>
      <c r="C209" s="6" t="s">
        <v>154</v>
      </c>
      <c r="D209" s="6" t="s">
        <v>156</v>
      </c>
      <c r="E209" s="7">
        <v>1.66</v>
      </c>
      <c r="F209" s="18">
        <v>5.0099999999999999E-2</v>
      </c>
      <c r="G209" s="18">
        <v>0.65459999999999996</v>
      </c>
      <c r="H209" s="13">
        <v>317</v>
      </c>
      <c r="I209" s="13">
        <v>317</v>
      </c>
      <c r="J209" s="7">
        <v>1199678.8600000001</v>
      </c>
      <c r="K209" s="7">
        <v>3784.48</v>
      </c>
      <c r="L209" s="13">
        <v>0</v>
      </c>
      <c r="M209" s="18">
        <v>0</v>
      </c>
      <c r="N209" s="13">
        <v>0</v>
      </c>
      <c r="O209" s="18">
        <v>0</v>
      </c>
      <c r="P209" s="13">
        <v>317</v>
      </c>
      <c r="Q209" s="18">
        <v>1</v>
      </c>
      <c r="R209" s="7"/>
      <c r="S209" s="7"/>
      <c r="T209" s="7">
        <v>0</v>
      </c>
      <c r="U209" s="7">
        <v>0</v>
      </c>
    </row>
    <row r="210" spans="1:21" x14ac:dyDescent="0.35">
      <c r="A210" s="9" t="s">
        <v>139</v>
      </c>
      <c r="B210" s="9" t="s">
        <v>144</v>
      </c>
      <c r="C210" s="9" t="s">
        <v>141</v>
      </c>
      <c r="D210" s="9" t="s">
        <v>156</v>
      </c>
      <c r="E210" s="10">
        <v>1.54</v>
      </c>
      <c r="F210" s="16">
        <v>3.44E-2</v>
      </c>
      <c r="G210" s="16">
        <v>0.6613</v>
      </c>
      <c r="H210" s="12">
        <v>363</v>
      </c>
      <c r="I210" s="12">
        <v>363</v>
      </c>
      <c r="J210" s="10">
        <v>1192119.77</v>
      </c>
      <c r="K210" s="10">
        <v>3284.08</v>
      </c>
      <c r="L210" s="12">
        <v>0</v>
      </c>
      <c r="M210" s="16">
        <v>0</v>
      </c>
      <c r="N210" s="12">
        <v>363</v>
      </c>
      <c r="O210" s="16">
        <v>1</v>
      </c>
      <c r="P210" s="12">
        <v>0</v>
      </c>
      <c r="Q210" s="16">
        <v>0</v>
      </c>
      <c r="R210" s="10"/>
      <c r="S210" s="10">
        <v>3284.0765013774098</v>
      </c>
      <c r="T210" s="10">
        <v>0</v>
      </c>
      <c r="U210" s="10">
        <v>304.49960577367148</v>
      </c>
    </row>
    <row r="211" spans="1:21" x14ac:dyDescent="0.35">
      <c r="A211" s="6" t="s">
        <v>150</v>
      </c>
      <c r="B211" s="6" t="s">
        <v>148</v>
      </c>
      <c r="C211" s="6" t="s">
        <v>141</v>
      </c>
      <c r="D211" s="6" t="s">
        <v>156</v>
      </c>
      <c r="E211" s="7">
        <v>1.67</v>
      </c>
      <c r="F211" s="18">
        <v>4.6699999999999998E-2</v>
      </c>
      <c r="G211" s="18">
        <v>0.64879999999999993</v>
      </c>
      <c r="H211" s="13">
        <v>336</v>
      </c>
      <c r="I211" s="13">
        <v>336</v>
      </c>
      <c r="J211" s="7">
        <v>1153358.58</v>
      </c>
      <c r="K211" s="7">
        <v>3432.61</v>
      </c>
      <c r="L211" s="13">
        <v>0</v>
      </c>
      <c r="M211" s="18">
        <v>0</v>
      </c>
      <c r="N211" s="13">
        <v>336</v>
      </c>
      <c r="O211" s="18">
        <v>1</v>
      </c>
      <c r="P211" s="13">
        <v>0</v>
      </c>
      <c r="Q211" s="18">
        <v>0</v>
      </c>
      <c r="R211" s="7"/>
      <c r="S211" s="7">
        <v>3432.6148214285722</v>
      </c>
      <c r="T211" s="7">
        <v>0</v>
      </c>
      <c r="U211" s="7">
        <v>291.32310265555049</v>
      </c>
    </row>
    <row r="212" spans="1:21" x14ac:dyDescent="0.35">
      <c r="A212" s="9" t="s">
        <v>149</v>
      </c>
      <c r="B212" s="9" t="s">
        <v>140</v>
      </c>
      <c r="C212" s="9" t="s">
        <v>154</v>
      </c>
      <c r="D212" s="9" t="s">
        <v>156</v>
      </c>
      <c r="E212" s="10">
        <v>1.56</v>
      </c>
      <c r="F212" s="16">
        <v>4.4299999999999999E-2</v>
      </c>
      <c r="G212" s="16">
        <v>0.64639999999999997</v>
      </c>
      <c r="H212" s="12">
        <v>273</v>
      </c>
      <c r="I212" s="12">
        <v>273</v>
      </c>
      <c r="J212" s="10">
        <v>1152498.8799999999</v>
      </c>
      <c r="K212" s="10">
        <v>4221.6099999999997</v>
      </c>
      <c r="L212" s="12">
        <v>0</v>
      </c>
      <c r="M212" s="16">
        <v>0</v>
      </c>
      <c r="N212" s="12">
        <v>0</v>
      </c>
      <c r="O212" s="16">
        <v>0</v>
      </c>
      <c r="P212" s="12">
        <v>273</v>
      </c>
      <c r="Q212" s="16">
        <v>1</v>
      </c>
      <c r="R212" s="10"/>
      <c r="S212" s="10"/>
      <c r="T212" s="10">
        <v>0</v>
      </c>
      <c r="U212" s="10">
        <v>0</v>
      </c>
    </row>
    <row r="213" spans="1:21" x14ac:dyDescent="0.35">
      <c r="A213" s="6" t="s">
        <v>139</v>
      </c>
      <c r="B213" s="6" t="s">
        <v>151</v>
      </c>
      <c r="C213" s="6" t="s">
        <v>154</v>
      </c>
      <c r="D213" s="6" t="s">
        <v>156</v>
      </c>
      <c r="E213" s="7">
        <v>1.55</v>
      </c>
      <c r="F213" s="18">
        <v>4.1599999999999998E-2</v>
      </c>
      <c r="G213" s="18">
        <v>0.6341</v>
      </c>
      <c r="H213" s="13">
        <v>298</v>
      </c>
      <c r="I213" s="13">
        <v>298</v>
      </c>
      <c r="J213" s="7">
        <v>1142186.6399999999</v>
      </c>
      <c r="K213" s="7">
        <v>3832.84</v>
      </c>
      <c r="L213" s="13">
        <v>0</v>
      </c>
      <c r="M213" s="18">
        <v>0</v>
      </c>
      <c r="N213" s="13">
        <v>0</v>
      </c>
      <c r="O213" s="18">
        <v>0</v>
      </c>
      <c r="P213" s="13">
        <v>298</v>
      </c>
      <c r="Q213" s="18">
        <v>1</v>
      </c>
      <c r="R213" s="7"/>
      <c r="S213" s="7"/>
      <c r="T213" s="7">
        <v>0</v>
      </c>
      <c r="U213" s="7">
        <v>0</v>
      </c>
    </row>
    <row r="214" spans="1:21" x14ac:dyDescent="0.35">
      <c r="A214" s="9" t="s">
        <v>139</v>
      </c>
      <c r="B214" s="9" t="s">
        <v>140</v>
      </c>
      <c r="C214" s="9" t="s">
        <v>141</v>
      </c>
      <c r="D214" s="9" t="s">
        <v>156</v>
      </c>
      <c r="E214" s="10">
        <v>1.51</v>
      </c>
      <c r="F214" s="16">
        <v>3.6900000000000002E-2</v>
      </c>
      <c r="G214" s="16">
        <v>0.65639999999999998</v>
      </c>
      <c r="H214" s="12">
        <v>339</v>
      </c>
      <c r="I214" s="12">
        <v>339</v>
      </c>
      <c r="J214" s="10">
        <v>1135597.1299999999</v>
      </c>
      <c r="K214" s="10">
        <v>3349.84</v>
      </c>
      <c r="L214" s="12">
        <v>0</v>
      </c>
      <c r="M214" s="16">
        <v>0</v>
      </c>
      <c r="N214" s="12">
        <v>339</v>
      </c>
      <c r="O214" s="16">
        <v>1</v>
      </c>
      <c r="P214" s="12">
        <v>0</v>
      </c>
      <c r="Q214" s="16">
        <v>0</v>
      </c>
      <c r="R214" s="10"/>
      <c r="S214" s="10">
        <v>3349.8440412979348</v>
      </c>
      <c r="T214" s="10">
        <v>0</v>
      </c>
      <c r="U214" s="10">
        <v>298.52136029966903</v>
      </c>
    </row>
    <row r="215" spans="1:21" x14ac:dyDescent="0.35">
      <c r="A215" s="6" t="s">
        <v>149</v>
      </c>
      <c r="B215" s="6" t="s">
        <v>144</v>
      </c>
      <c r="C215" s="6" t="s">
        <v>141</v>
      </c>
      <c r="D215" s="6" t="s">
        <v>156</v>
      </c>
      <c r="E215" s="7">
        <v>1.61</v>
      </c>
      <c r="F215" s="18">
        <v>4.2199999999999988E-2</v>
      </c>
      <c r="G215" s="18">
        <v>0.65349999999999997</v>
      </c>
      <c r="H215" s="13">
        <v>374</v>
      </c>
      <c r="I215" s="13">
        <v>374</v>
      </c>
      <c r="J215" s="7">
        <v>1114710.6599999999</v>
      </c>
      <c r="K215" s="7">
        <v>2980.51</v>
      </c>
      <c r="L215" s="13">
        <v>0</v>
      </c>
      <c r="M215" s="18">
        <v>0</v>
      </c>
      <c r="N215" s="13">
        <v>374</v>
      </c>
      <c r="O215" s="18">
        <v>1</v>
      </c>
      <c r="P215" s="13">
        <v>0</v>
      </c>
      <c r="Q215" s="18">
        <v>0</v>
      </c>
      <c r="R215" s="7"/>
      <c r="S215" s="7">
        <v>2980.509786096256</v>
      </c>
      <c r="T215" s="7">
        <v>0</v>
      </c>
      <c r="U215" s="7">
        <v>335.51307385900492</v>
      </c>
    </row>
    <row r="216" spans="1:21" x14ac:dyDescent="0.35">
      <c r="A216" s="9" t="s">
        <v>143</v>
      </c>
      <c r="B216" s="9" t="s">
        <v>145</v>
      </c>
      <c r="C216" s="9" t="s">
        <v>154</v>
      </c>
      <c r="D216" s="9" t="s">
        <v>156</v>
      </c>
      <c r="E216" s="10">
        <v>1.58</v>
      </c>
      <c r="F216" s="16">
        <v>4.6300000000000001E-2</v>
      </c>
      <c r="G216" s="16">
        <v>0.65200000000000002</v>
      </c>
      <c r="H216" s="12">
        <v>320</v>
      </c>
      <c r="I216" s="12">
        <v>320</v>
      </c>
      <c r="J216" s="10">
        <v>1098916.27</v>
      </c>
      <c r="K216" s="10">
        <v>3434.11</v>
      </c>
      <c r="L216" s="12">
        <v>0</v>
      </c>
      <c r="M216" s="16">
        <v>0</v>
      </c>
      <c r="N216" s="12">
        <v>0</v>
      </c>
      <c r="O216" s="16">
        <v>0</v>
      </c>
      <c r="P216" s="12">
        <v>320</v>
      </c>
      <c r="Q216" s="16">
        <v>1</v>
      </c>
      <c r="R216" s="10"/>
      <c r="S216" s="10"/>
      <c r="T216" s="10">
        <v>0</v>
      </c>
      <c r="U216" s="10">
        <v>0</v>
      </c>
    </row>
    <row r="217" spans="1:21" x14ac:dyDescent="0.35">
      <c r="A217" s="6" t="s">
        <v>146</v>
      </c>
      <c r="B217" s="6" t="s">
        <v>147</v>
      </c>
      <c r="C217" s="6" t="s">
        <v>154</v>
      </c>
      <c r="D217" s="6" t="s">
        <v>156</v>
      </c>
      <c r="E217" s="7">
        <v>1.61</v>
      </c>
      <c r="F217" s="18">
        <v>4.0199999999999993E-2</v>
      </c>
      <c r="G217" s="18">
        <v>0.64590000000000003</v>
      </c>
      <c r="H217" s="13">
        <v>295</v>
      </c>
      <c r="I217" s="13">
        <v>295</v>
      </c>
      <c r="J217" s="7">
        <v>1093290.44</v>
      </c>
      <c r="K217" s="7">
        <v>3706.07</v>
      </c>
      <c r="L217" s="13">
        <v>0</v>
      </c>
      <c r="M217" s="18">
        <v>0</v>
      </c>
      <c r="N217" s="13">
        <v>0</v>
      </c>
      <c r="O217" s="18">
        <v>0</v>
      </c>
      <c r="P217" s="13">
        <v>295</v>
      </c>
      <c r="Q217" s="18">
        <v>1</v>
      </c>
      <c r="R217" s="7"/>
      <c r="S217" s="7"/>
      <c r="T217" s="7">
        <v>0</v>
      </c>
      <c r="U217" s="7">
        <v>0</v>
      </c>
    </row>
    <row r="218" spans="1:21" x14ac:dyDescent="0.35">
      <c r="A218" s="9" t="s">
        <v>143</v>
      </c>
      <c r="B218" s="9" t="s">
        <v>145</v>
      </c>
      <c r="C218" s="9" t="s">
        <v>141</v>
      </c>
      <c r="D218" s="9" t="s">
        <v>156</v>
      </c>
      <c r="E218" s="10">
        <v>1.57</v>
      </c>
      <c r="F218" s="16">
        <v>4.4600000000000001E-2</v>
      </c>
      <c r="G218" s="16">
        <v>0.64780000000000004</v>
      </c>
      <c r="H218" s="12">
        <v>348</v>
      </c>
      <c r="I218" s="12">
        <v>348</v>
      </c>
      <c r="J218" s="10">
        <v>1071750.02</v>
      </c>
      <c r="K218" s="10">
        <v>3079.74</v>
      </c>
      <c r="L218" s="12">
        <v>0</v>
      </c>
      <c r="M218" s="16">
        <v>0</v>
      </c>
      <c r="N218" s="12">
        <v>348</v>
      </c>
      <c r="O218" s="16">
        <v>1</v>
      </c>
      <c r="P218" s="12">
        <v>0</v>
      </c>
      <c r="Q218" s="16">
        <v>0</v>
      </c>
      <c r="R218" s="10"/>
      <c r="S218" s="10">
        <v>3079.7414367816091</v>
      </c>
      <c r="T218" s="10">
        <v>0</v>
      </c>
      <c r="U218" s="10">
        <v>324.70258316393591</v>
      </c>
    </row>
    <row r="219" spans="1:21" x14ac:dyDescent="0.35">
      <c r="A219" s="6" t="s">
        <v>143</v>
      </c>
      <c r="B219" s="6" t="s">
        <v>140</v>
      </c>
      <c r="C219" s="6" t="s">
        <v>154</v>
      </c>
      <c r="D219" s="6" t="s">
        <v>156</v>
      </c>
      <c r="E219" s="7">
        <v>1.57</v>
      </c>
      <c r="F219" s="18">
        <v>3.5799999999999998E-2</v>
      </c>
      <c r="G219" s="18">
        <v>0.64639999999999997</v>
      </c>
      <c r="H219" s="13">
        <v>297</v>
      </c>
      <c r="I219" s="13">
        <v>297</v>
      </c>
      <c r="J219" s="7">
        <v>1061536.1100000001</v>
      </c>
      <c r="K219" s="7">
        <v>3574.2</v>
      </c>
      <c r="L219" s="13">
        <v>0</v>
      </c>
      <c r="M219" s="18">
        <v>0</v>
      </c>
      <c r="N219" s="13">
        <v>0</v>
      </c>
      <c r="O219" s="18">
        <v>0</v>
      </c>
      <c r="P219" s="13">
        <v>297</v>
      </c>
      <c r="Q219" s="18">
        <v>1</v>
      </c>
      <c r="R219" s="7"/>
      <c r="S219" s="7"/>
      <c r="T219" s="7">
        <v>0</v>
      </c>
      <c r="U219" s="7">
        <v>0</v>
      </c>
    </row>
    <row r="220" spans="1:21" x14ac:dyDescent="0.35">
      <c r="A220" s="9" t="s">
        <v>150</v>
      </c>
      <c r="B220" s="9" t="s">
        <v>148</v>
      </c>
      <c r="C220" s="9" t="s">
        <v>155</v>
      </c>
      <c r="D220" s="9" t="s">
        <v>156</v>
      </c>
      <c r="E220" s="10">
        <v>1.49</v>
      </c>
      <c r="F220" s="16">
        <v>3.04E-2</v>
      </c>
      <c r="G220" s="16">
        <v>0.6472</v>
      </c>
      <c r="H220" s="12">
        <v>225</v>
      </c>
      <c r="I220" s="12">
        <v>225</v>
      </c>
      <c r="J220" s="10">
        <v>1058683.3600000001</v>
      </c>
      <c r="K220" s="10">
        <v>4705.26</v>
      </c>
      <c r="L220" s="12">
        <v>0</v>
      </c>
      <c r="M220" s="16">
        <v>0</v>
      </c>
      <c r="N220" s="12">
        <v>0</v>
      </c>
      <c r="O220" s="16">
        <v>0</v>
      </c>
      <c r="P220" s="12">
        <v>225</v>
      </c>
      <c r="Q220" s="16">
        <v>1</v>
      </c>
      <c r="R220" s="10"/>
      <c r="S220" s="10"/>
      <c r="T220" s="10">
        <v>0</v>
      </c>
      <c r="U220" s="10">
        <v>0</v>
      </c>
    </row>
    <row r="221" spans="1:21" x14ac:dyDescent="0.35">
      <c r="A221" s="6" t="s">
        <v>146</v>
      </c>
      <c r="B221" s="6" t="s">
        <v>147</v>
      </c>
      <c r="C221" s="6" t="s">
        <v>141</v>
      </c>
      <c r="D221" s="6" t="s">
        <v>156</v>
      </c>
      <c r="E221" s="7">
        <v>1.55</v>
      </c>
      <c r="F221" s="18">
        <v>3.3799999999999997E-2</v>
      </c>
      <c r="G221" s="18">
        <v>0.66520000000000001</v>
      </c>
      <c r="H221" s="13">
        <v>318</v>
      </c>
      <c r="I221" s="13">
        <v>318</v>
      </c>
      <c r="J221" s="7">
        <v>1056274.77</v>
      </c>
      <c r="K221" s="7">
        <v>3321.62</v>
      </c>
      <c r="L221" s="13">
        <v>0</v>
      </c>
      <c r="M221" s="18">
        <v>0</v>
      </c>
      <c r="N221" s="13">
        <v>318</v>
      </c>
      <c r="O221" s="18">
        <v>1</v>
      </c>
      <c r="P221" s="13">
        <v>0</v>
      </c>
      <c r="Q221" s="18">
        <v>0</v>
      </c>
      <c r="R221" s="7"/>
      <c r="S221" s="7">
        <v>3321.6187735849062</v>
      </c>
      <c r="T221" s="7">
        <v>0</v>
      </c>
      <c r="U221" s="7">
        <v>301.05802867941259</v>
      </c>
    </row>
    <row r="222" spans="1:21" x14ac:dyDescent="0.35">
      <c r="A222" s="9" t="s">
        <v>146</v>
      </c>
      <c r="B222" s="9" t="s">
        <v>140</v>
      </c>
      <c r="C222" s="9" t="s">
        <v>154</v>
      </c>
      <c r="D222" s="9" t="s">
        <v>156</v>
      </c>
      <c r="E222" s="10">
        <v>1.63</v>
      </c>
      <c r="F222" s="16">
        <v>4.7500000000000001E-2</v>
      </c>
      <c r="G222" s="16">
        <v>0.64989999999999992</v>
      </c>
      <c r="H222" s="12">
        <v>306</v>
      </c>
      <c r="I222" s="12">
        <v>306</v>
      </c>
      <c r="J222" s="10">
        <v>1049456.8999999999</v>
      </c>
      <c r="K222" s="10">
        <v>3429.6</v>
      </c>
      <c r="L222" s="12">
        <v>0</v>
      </c>
      <c r="M222" s="16">
        <v>0</v>
      </c>
      <c r="N222" s="12">
        <v>0</v>
      </c>
      <c r="O222" s="16">
        <v>0</v>
      </c>
      <c r="P222" s="12">
        <v>306</v>
      </c>
      <c r="Q222" s="16">
        <v>1</v>
      </c>
      <c r="R222" s="10"/>
      <c r="S222" s="10"/>
      <c r="T222" s="10">
        <v>0</v>
      </c>
      <c r="U222" s="10">
        <v>0</v>
      </c>
    </row>
    <row r="223" spans="1:21" x14ac:dyDescent="0.35">
      <c r="A223" s="6" t="s">
        <v>150</v>
      </c>
      <c r="B223" s="6" t="s">
        <v>140</v>
      </c>
      <c r="C223" s="6" t="s">
        <v>141</v>
      </c>
      <c r="D223" s="6" t="s">
        <v>156</v>
      </c>
      <c r="E223" s="7">
        <v>1.62</v>
      </c>
      <c r="F223" s="18">
        <v>4.4200000000000003E-2</v>
      </c>
      <c r="G223" s="18">
        <v>0.64410000000000001</v>
      </c>
      <c r="H223" s="13">
        <v>328</v>
      </c>
      <c r="I223" s="13">
        <v>328</v>
      </c>
      <c r="J223" s="7">
        <v>1045577.19</v>
      </c>
      <c r="K223" s="7">
        <v>3187.74</v>
      </c>
      <c r="L223" s="13">
        <v>0</v>
      </c>
      <c r="M223" s="18">
        <v>0</v>
      </c>
      <c r="N223" s="13">
        <v>328</v>
      </c>
      <c r="O223" s="18">
        <v>1</v>
      </c>
      <c r="P223" s="13">
        <v>0</v>
      </c>
      <c r="Q223" s="18">
        <v>0</v>
      </c>
      <c r="R223" s="7"/>
      <c r="S223" s="7">
        <v>3187.7353353658541</v>
      </c>
      <c r="T223" s="7">
        <v>0</v>
      </c>
      <c r="U223" s="7">
        <v>313.70232933256699</v>
      </c>
    </row>
    <row r="224" spans="1:21" x14ac:dyDescent="0.35">
      <c r="A224" s="9" t="s">
        <v>143</v>
      </c>
      <c r="B224" s="9" t="s">
        <v>147</v>
      </c>
      <c r="C224" s="9" t="s">
        <v>154</v>
      </c>
      <c r="D224" s="9" t="s">
        <v>156</v>
      </c>
      <c r="E224" s="10">
        <v>1.57</v>
      </c>
      <c r="F224" s="16">
        <v>4.0099999999999997E-2</v>
      </c>
      <c r="G224" s="16">
        <v>0.66209999999999991</v>
      </c>
      <c r="H224" s="12">
        <v>291</v>
      </c>
      <c r="I224" s="12">
        <v>291</v>
      </c>
      <c r="J224" s="10">
        <v>1037974.19</v>
      </c>
      <c r="K224" s="10">
        <v>3566.92</v>
      </c>
      <c r="L224" s="12">
        <v>0</v>
      </c>
      <c r="M224" s="16">
        <v>0</v>
      </c>
      <c r="N224" s="12">
        <v>0</v>
      </c>
      <c r="O224" s="16">
        <v>0</v>
      </c>
      <c r="P224" s="12">
        <v>291</v>
      </c>
      <c r="Q224" s="16">
        <v>1</v>
      </c>
      <c r="R224" s="10"/>
      <c r="S224" s="10"/>
      <c r="T224" s="10">
        <v>0</v>
      </c>
      <c r="U224" s="10">
        <v>0</v>
      </c>
    </row>
    <row r="225" spans="1:21" x14ac:dyDescent="0.35">
      <c r="A225" s="6" t="s">
        <v>150</v>
      </c>
      <c r="B225" s="6" t="s">
        <v>145</v>
      </c>
      <c r="C225" s="6" t="s">
        <v>141</v>
      </c>
      <c r="D225" s="6" t="s">
        <v>156</v>
      </c>
      <c r="E225" s="7">
        <v>1.6</v>
      </c>
      <c r="F225" s="18">
        <v>4.4900000000000002E-2</v>
      </c>
      <c r="G225" s="18">
        <v>0.64760000000000006</v>
      </c>
      <c r="H225" s="13">
        <v>344</v>
      </c>
      <c r="I225" s="13">
        <v>344</v>
      </c>
      <c r="J225" s="7">
        <v>1035957.95</v>
      </c>
      <c r="K225" s="7">
        <v>3011.51</v>
      </c>
      <c r="L225" s="13">
        <v>0</v>
      </c>
      <c r="M225" s="18">
        <v>0</v>
      </c>
      <c r="N225" s="13">
        <v>344</v>
      </c>
      <c r="O225" s="18">
        <v>1</v>
      </c>
      <c r="P225" s="13">
        <v>0</v>
      </c>
      <c r="Q225" s="18">
        <v>0</v>
      </c>
      <c r="R225" s="7"/>
      <c r="S225" s="7">
        <v>3011.505668604651</v>
      </c>
      <c r="T225" s="7">
        <v>0</v>
      </c>
      <c r="U225" s="7">
        <v>332.05980995657211</v>
      </c>
    </row>
    <row r="226" spans="1:21" x14ac:dyDescent="0.35">
      <c r="A226" s="9" t="s">
        <v>146</v>
      </c>
      <c r="B226" s="9" t="s">
        <v>148</v>
      </c>
      <c r="C226" s="9" t="s">
        <v>154</v>
      </c>
      <c r="D226" s="9" t="s">
        <v>156</v>
      </c>
      <c r="E226" s="10">
        <v>1.51</v>
      </c>
      <c r="F226" s="16">
        <v>4.24E-2</v>
      </c>
      <c r="G226" s="16">
        <v>0.65709999999999991</v>
      </c>
      <c r="H226" s="12">
        <v>291</v>
      </c>
      <c r="I226" s="12">
        <v>291</v>
      </c>
      <c r="J226" s="10">
        <v>1019436.51</v>
      </c>
      <c r="K226" s="10">
        <v>3503.22</v>
      </c>
      <c r="L226" s="12">
        <v>0</v>
      </c>
      <c r="M226" s="16">
        <v>0</v>
      </c>
      <c r="N226" s="12">
        <v>0</v>
      </c>
      <c r="O226" s="16">
        <v>0</v>
      </c>
      <c r="P226" s="12">
        <v>291</v>
      </c>
      <c r="Q226" s="16">
        <v>1</v>
      </c>
      <c r="R226" s="10"/>
      <c r="S226" s="10"/>
      <c r="T226" s="10">
        <v>0</v>
      </c>
      <c r="U226" s="10">
        <v>0</v>
      </c>
    </row>
    <row r="227" spans="1:21" x14ac:dyDescent="0.35">
      <c r="A227" s="6" t="s">
        <v>146</v>
      </c>
      <c r="B227" s="6" t="s">
        <v>144</v>
      </c>
      <c r="C227" s="6" t="s">
        <v>154</v>
      </c>
      <c r="D227" s="6" t="s">
        <v>156</v>
      </c>
      <c r="E227" s="7">
        <v>1.58</v>
      </c>
      <c r="F227" s="18">
        <v>3.8699999999999998E-2</v>
      </c>
      <c r="G227" s="18">
        <v>0.64529999999999998</v>
      </c>
      <c r="H227" s="13">
        <v>313</v>
      </c>
      <c r="I227" s="13">
        <v>313</v>
      </c>
      <c r="J227" s="7">
        <v>1019386.1</v>
      </c>
      <c r="K227" s="7">
        <v>3256.82</v>
      </c>
      <c r="L227" s="13">
        <v>0</v>
      </c>
      <c r="M227" s="18">
        <v>0</v>
      </c>
      <c r="N227" s="13">
        <v>0</v>
      </c>
      <c r="O227" s="18">
        <v>0</v>
      </c>
      <c r="P227" s="13">
        <v>313</v>
      </c>
      <c r="Q227" s="18">
        <v>1</v>
      </c>
      <c r="R227" s="7"/>
      <c r="S227" s="7"/>
      <c r="T227" s="7">
        <v>0</v>
      </c>
      <c r="U227" s="7">
        <v>0</v>
      </c>
    </row>
    <row r="228" spans="1:21" x14ac:dyDescent="0.35">
      <c r="A228" s="9" t="s">
        <v>143</v>
      </c>
      <c r="B228" s="9" t="s">
        <v>151</v>
      </c>
      <c r="C228" s="9" t="s">
        <v>141</v>
      </c>
      <c r="D228" s="9" t="s">
        <v>156</v>
      </c>
      <c r="E228" s="10">
        <v>1.6</v>
      </c>
      <c r="F228" s="16">
        <v>4.3499999999999997E-2</v>
      </c>
      <c r="G228" s="16">
        <v>0.65310000000000001</v>
      </c>
      <c r="H228" s="12">
        <v>342</v>
      </c>
      <c r="I228" s="12">
        <v>342</v>
      </c>
      <c r="J228" s="10">
        <v>1009248.72</v>
      </c>
      <c r="K228" s="10">
        <v>2951.02</v>
      </c>
      <c r="L228" s="12">
        <v>0</v>
      </c>
      <c r="M228" s="16">
        <v>0</v>
      </c>
      <c r="N228" s="12">
        <v>342</v>
      </c>
      <c r="O228" s="16">
        <v>1</v>
      </c>
      <c r="P228" s="12">
        <v>0</v>
      </c>
      <c r="Q228" s="16">
        <v>0</v>
      </c>
      <c r="R228" s="10"/>
      <c r="S228" s="10">
        <v>2951.0196491228071</v>
      </c>
      <c r="T228" s="10">
        <v>0</v>
      </c>
      <c r="U228" s="10">
        <v>338.86592395182822</v>
      </c>
    </row>
    <row r="229" spans="1:21" x14ac:dyDescent="0.35">
      <c r="A229" s="6" t="s">
        <v>143</v>
      </c>
      <c r="B229" s="6" t="s">
        <v>151</v>
      </c>
      <c r="C229" s="6" t="s">
        <v>154</v>
      </c>
      <c r="D229" s="6" t="s">
        <v>156</v>
      </c>
      <c r="E229" s="7">
        <v>1.56</v>
      </c>
      <c r="F229" s="18">
        <v>3.6600000000000001E-2</v>
      </c>
      <c r="G229" s="18">
        <v>0.64260000000000006</v>
      </c>
      <c r="H229" s="13">
        <v>314</v>
      </c>
      <c r="I229" s="13">
        <v>314</v>
      </c>
      <c r="J229" s="7">
        <v>1000252.12</v>
      </c>
      <c r="K229" s="7">
        <v>3185.52</v>
      </c>
      <c r="L229" s="13">
        <v>0</v>
      </c>
      <c r="M229" s="18">
        <v>0</v>
      </c>
      <c r="N229" s="13">
        <v>0</v>
      </c>
      <c r="O229" s="18">
        <v>0</v>
      </c>
      <c r="P229" s="13">
        <v>314</v>
      </c>
      <c r="Q229" s="18">
        <v>1</v>
      </c>
      <c r="R229" s="7"/>
      <c r="S229" s="7"/>
      <c r="T229" s="7">
        <v>0</v>
      </c>
      <c r="U229" s="7">
        <v>0</v>
      </c>
    </row>
    <row r="230" spans="1:21" x14ac:dyDescent="0.35">
      <c r="A230" s="9" t="s">
        <v>139</v>
      </c>
      <c r="B230" s="9" t="s">
        <v>147</v>
      </c>
      <c r="C230" s="9" t="s">
        <v>155</v>
      </c>
      <c r="D230" s="9" t="s">
        <v>142</v>
      </c>
      <c r="E230" s="10">
        <v>9.16</v>
      </c>
      <c r="F230" s="16">
        <v>0.99569999999999992</v>
      </c>
      <c r="G230" s="16">
        <v>0.64319999999999988</v>
      </c>
      <c r="H230" s="12">
        <v>206</v>
      </c>
      <c r="I230" s="12">
        <v>206</v>
      </c>
      <c r="J230" s="10">
        <v>999573.23</v>
      </c>
      <c r="K230" s="10">
        <v>4852.3</v>
      </c>
      <c r="L230" s="12">
        <v>0</v>
      </c>
      <c r="M230" s="16">
        <v>0</v>
      </c>
      <c r="N230" s="12">
        <v>0</v>
      </c>
      <c r="O230" s="16">
        <v>0</v>
      </c>
      <c r="P230" s="12">
        <v>206</v>
      </c>
      <c r="Q230" s="16">
        <v>1</v>
      </c>
      <c r="R230" s="10"/>
      <c r="S230" s="10"/>
      <c r="T230" s="10">
        <v>0</v>
      </c>
      <c r="U230" s="10">
        <v>0</v>
      </c>
    </row>
    <row r="231" spans="1:21" x14ac:dyDescent="0.35">
      <c r="A231" s="6" t="s">
        <v>150</v>
      </c>
      <c r="B231" s="6" t="s">
        <v>147</v>
      </c>
      <c r="C231" s="6" t="s">
        <v>155</v>
      </c>
      <c r="D231" s="6" t="s">
        <v>156</v>
      </c>
      <c r="E231" s="7">
        <v>1.53</v>
      </c>
      <c r="F231" s="18">
        <v>5.28E-2</v>
      </c>
      <c r="G231" s="18">
        <v>0.65579999999999994</v>
      </c>
      <c r="H231" s="13">
        <v>228</v>
      </c>
      <c r="I231" s="13">
        <v>228</v>
      </c>
      <c r="J231" s="7">
        <v>985535.13</v>
      </c>
      <c r="K231" s="7">
        <v>4322.5200000000004</v>
      </c>
      <c r="L231" s="13">
        <v>0</v>
      </c>
      <c r="M231" s="18">
        <v>0</v>
      </c>
      <c r="N231" s="13">
        <v>0</v>
      </c>
      <c r="O231" s="18">
        <v>0</v>
      </c>
      <c r="P231" s="13">
        <v>228</v>
      </c>
      <c r="Q231" s="18">
        <v>1</v>
      </c>
      <c r="R231" s="7"/>
      <c r="S231" s="7"/>
      <c r="T231" s="7">
        <v>0</v>
      </c>
      <c r="U231" s="7">
        <v>0</v>
      </c>
    </row>
    <row r="232" spans="1:21" x14ac:dyDescent="0.35">
      <c r="A232" s="9" t="s">
        <v>150</v>
      </c>
      <c r="B232" s="9" t="s">
        <v>145</v>
      </c>
      <c r="C232" s="9" t="s">
        <v>154</v>
      </c>
      <c r="D232" s="9" t="s">
        <v>156</v>
      </c>
      <c r="E232" s="10">
        <v>1.67</v>
      </c>
      <c r="F232" s="16">
        <v>3.9699999999999999E-2</v>
      </c>
      <c r="G232" s="16">
        <v>0.65569999999999995</v>
      </c>
      <c r="H232" s="12">
        <v>294</v>
      </c>
      <c r="I232" s="12">
        <v>294</v>
      </c>
      <c r="J232" s="10">
        <v>985100.9</v>
      </c>
      <c r="K232" s="10">
        <v>3350.68</v>
      </c>
      <c r="L232" s="12">
        <v>0</v>
      </c>
      <c r="M232" s="16">
        <v>0</v>
      </c>
      <c r="N232" s="12">
        <v>0</v>
      </c>
      <c r="O232" s="16">
        <v>0</v>
      </c>
      <c r="P232" s="12">
        <v>294</v>
      </c>
      <c r="Q232" s="16">
        <v>1</v>
      </c>
      <c r="R232" s="10"/>
      <c r="S232" s="10"/>
      <c r="T232" s="10">
        <v>0</v>
      </c>
      <c r="U232" s="10">
        <v>0</v>
      </c>
    </row>
    <row r="233" spans="1:21" x14ac:dyDescent="0.35">
      <c r="A233" s="6" t="s">
        <v>150</v>
      </c>
      <c r="B233" s="6" t="s">
        <v>140</v>
      </c>
      <c r="C233" s="6" t="s">
        <v>154</v>
      </c>
      <c r="D233" s="6" t="s">
        <v>156</v>
      </c>
      <c r="E233" s="7">
        <v>1.5</v>
      </c>
      <c r="F233" s="18">
        <v>4.0999999999999988E-2</v>
      </c>
      <c r="G233" s="18">
        <v>0.64980000000000004</v>
      </c>
      <c r="H233" s="13">
        <v>283</v>
      </c>
      <c r="I233" s="13">
        <v>283</v>
      </c>
      <c r="J233" s="7">
        <v>971917.5</v>
      </c>
      <c r="K233" s="7">
        <v>3434.34</v>
      </c>
      <c r="L233" s="13">
        <v>0</v>
      </c>
      <c r="M233" s="18">
        <v>0</v>
      </c>
      <c r="N233" s="13">
        <v>0</v>
      </c>
      <c r="O233" s="18">
        <v>0</v>
      </c>
      <c r="P233" s="13">
        <v>283</v>
      </c>
      <c r="Q233" s="18">
        <v>1</v>
      </c>
      <c r="R233" s="7"/>
      <c r="S233" s="7"/>
      <c r="T233" s="7">
        <v>0</v>
      </c>
      <c r="U233" s="7">
        <v>0</v>
      </c>
    </row>
    <row r="234" spans="1:21" x14ac:dyDescent="0.35">
      <c r="A234" s="9" t="s">
        <v>146</v>
      </c>
      <c r="B234" s="9" t="s">
        <v>147</v>
      </c>
      <c r="C234" s="9" t="s">
        <v>155</v>
      </c>
      <c r="D234" s="9" t="s">
        <v>142</v>
      </c>
      <c r="E234" s="10">
        <v>9.31</v>
      </c>
      <c r="F234" s="16">
        <v>0.99219999999999997</v>
      </c>
      <c r="G234" s="16">
        <v>0.65790000000000004</v>
      </c>
      <c r="H234" s="12">
        <v>206</v>
      </c>
      <c r="I234" s="12">
        <v>206</v>
      </c>
      <c r="J234" s="10">
        <v>969343.87</v>
      </c>
      <c r="K234" s="10">
        <v>4705.55</v>
      </c>
      <c r="L234" s="12">
        <v>0</v>
      </c>
      <c r="M234" s="16">
        <v>0</v>
      </c>
      <c r="N234" s="12">
        <v>0</v>
      </c>
      <c r="O234" s="16">
        <v>0</v>
      </c>
      <c r="P234" s="12">
        <v>206</v>
      </c>
      <c r="Q234" s="16">
        <v>1</v>
      </c>
      <c r="R234" s="10"/>
      <c r="S234" s="10"/>
      <c r="T234" s="10">
        <v>0</v>
      </c>
      <c r="U234" s="10">
        <v>0</v>
      </c>
    </row>
    <row r="235" spans="1:21" x14ac:dyDescent="0.35">
      <c r="A235" s="6" t="s">
        <v>139</v>
      </c>
      <c r="B235" s="6" t="s">
        <v>147</v>
      </c>
      <c r="C235" s="6" t="s">
        <v>154</v>
      </c>
      <c r="D235" s="6" t="s">
        <v>156</v>
      </c>
      <c r="E235" s="7">
        <v>1.52</v>
      </c>
      <c r="F235" s="18">
        <v>3.3799999999999997E-2</v>
      </c>
      <c r="G235" s="18">
        <v>0.6581999999999999</v>
      </c>
      <c r="H235" s="13">
        <v>314</v>
      </c>
      <c r="I235" s="13">
        <v>314</v>
      </c>
      <c r="J235" s="7">
        <v>963869.72</v>
      </c>
      <c r="K235" s="7">
        <v>3069.65</v>
      </c>
      <c r="L235" s="13">
        <v>0</v>
      </c>
      <c r="M235" s="18">
        <v>0</v>
      </c>
      <c r="N235" s="13">
        <v>0</v>
      </c>
      <c r="O235" s="18">
        <v>0</v>
      </c>
      <c r="P235" s="13">
        <v>314</v>
      </c>
      <c r="Q235" s="18">
        <v>1</v>
      </c>
      <c r="R235" s="7"/>
      <c r="S235" s="7"/>
      <c r="T235" s="7">
        <v>0</v>
      </c>
      <c r="U235" s="7">
        <v>0</v>
      </c>
    </row>
    <row r="236" spans="1:21" x14ac:dyDescent="0.35">
      <c r="A236" s="9" t="s">
        <v>139</v>
      </c>
      <c r="B236" s="9" t="s">
        <v>140</v>
      </c>
      <c r="C236" s="9" t="s">
        <v>154</v>
      </c>
      <c r="D236" s="9" t="s">
        <v>156</v>
      </c>
      <c r="E236" s="10">
        <v>1.58</v>
      </c>
      <c r="F236" s="16">
        <v>4.99E-2</v>
      </c>
      <c r="G236" s="16">
        <v>0.65700000000000003</v>
      </c>
      <c r="H236" s="12">
        <v>311</v>
      </c>
      <c r="I236" s="12">
        <v>311</v>
      </c>
      <c r="J236" s="10">
        <v>963228.87</v>
      </c>
      <c r="K236" s="10">
        <v>3097.2</v>
      </c>
      <c r="L236" s="12">
        <v>0</v>
      </c>
      <c r="M236" s="16">
        <v>0</v>
      </c>
      <c r="N236" s="12">
        <v>0</v>
      </c>
      <c r="O236" s="16">
        <v>0</v>
      </c>
      <c r="P236" s="12">
        <v>311</v>
      </c>
      <c r="Q236" s="16">
        <v>1</v>
      </c>
      <c r="R236" s="10"/>
      <c r="S236" s="10"/>
      <c r="T236" s="10">
        <v>0</v>
      </c>
      <c r="U236" s="10">
        <v>0</v>
      </c>
    </row>
    <row r="237" spans="1:21" x14ac:dyDescent="0.35">
      <c r="A237" s="6" t="s">
        <v>139</v>
      </c>
      <c r="B237" s="6" t="s">
        <v>147</v>
      </c>
      <c r="C237" s="6" t="s">
        <v>141</v>
      </c>
      <c r="D237" s="6" t="s">
        <v>156</v>
      </c>
      <c r="E237" s="7">
        <v>1.65</v>
      </c>
      <c r="F237" s="18">
        <v>4.2000000000000003E-2</v>
      </c>
      <c r="G237" s="18">
        <v>0.65390000000000004</v>
      </c>
      <c r="H237" s="13">
        <v>365</v>
      </c>
      <c r="I237" s="13">
        <v>365</v>
      </c>
      <c r="J237" s="7">
        <v>962901.87</v>
      </c>
      <c r="K237" s="7">
        <v>2638.09</v>
      </c>
      <c r="L237" s="13">
        <v>0</v>
      </c>
      <c r="M237" s="18">
        <v>0</v>
      </c>
      <c r="N237" s="13">
        <v>365</v>
      </c>
      <c r="O237" s="18">
        <v>1</v>
      </c>
      <c r="P237" s="13">
        <v>0</v>
      </c>
      <c r="Q237" s="18">
        <v>0</v>
      </c>
      <c r="R237" s="7"/>
      <c r="S237" s="7">
        <v>2638.0873150684929</v>
      </c>
      <c r="T237" s="7">
        <v>0</v>
      </c>
      <c r="U237" s="7">
        <v>379.06251028466693</v>
      </c>
    </row>
    <row r="238" spans="1:21" x14ac:dyDescent="0.35">
      <c r="A238" s="9" t="s">
        <v>149</v>
      </c>
      <c r="B238" s="9" t="s">
        <v>151</v>
      </c>
      <c r="C238" s="9" t="s">
        <v>141</v>
      </c>
      <c r="D238" s="9" t="s">
        <v>156</v>
      </c>
      <c r="E238" s="10">
        <v>1.59</v>
      </c>
      <c r="F238" s="16">
        <v>3.9699999999999999E-2</v>
      </c>
      <c r="G238" s="16">
        <v>0.65</v>
      </c>
      <c r="H238" s="12">
        <v>366</v>
      </c>
      <c r="I238" s="12">
        <v>366</v>
      </c>
      <c r="J238" s="10">
        <v>958519.64</v>
      </c>
      <c r="K238" s="10">
        <v>2618.91</v>
      </c>
      <c r="L238" s="12">
        <v>0</v>
      </c>
      <c r="M238" s="16">
        <v>0</v>
      </c>
      <c r="N238" s="12">
        <v>366</v>
      </c>
      <c r="O238" s="16">
        <v>1</v>
      </c>
      <c r="P238" s="12">
        <v>0</v>
      </c>
      <c r="Q238" s="16">
        <v>0</v>
      </c>
      <c r="R238" s="10"/>
      <c r="S238" s="10">
        <v>2618.906120218579</v>
      </c>
      <c r="T238" s="10">
        <v>0</v>
      </c>
      <c r="U238" s="10">
        <v>381.83881135706298</v>
      </c>
    </row>
    <row r="239" spans="1:21" x14ac:dyDescent="0.35">
      <c r="A239" s="6" t="s">
        <v>149</v>
      </c>
      <c r="B239" s="6" t="s">
        <v>151</v>
      </c>
      <c r="C239" s="6" t="s">
        <v>155</v>
      </c>
      <c r="D239" s="6" t="s">
        <v>156</v>
      </c>
      <c r="E239" s="7">
        <v>1.54</v>
      </c>
      <c r="F239" s="18">
        <v>4.7399999999999998E-2</v>
      </c>
      <c r="G239" s="18">
        <v>0.64269999999999994</v>
      </c>
      <c r="H239" s="13">
        <v>215</v>
      </c>
      <c r="I239" s="13">
        <v>215</v>
      </c>
      <c r="J239" s="7">
        <v>937451.09</v>
      </c>
      <c r="K239" s="7">
        <v>4360.24</v>
      </c>
      <c r="L239" s="13">
        <v>0</v>
      </c>
      <c r="M239" s="18">
        <v>0</v>
      </c>
      <c r="N239" s="13">
        <v>0</v>
      </c>
      <c r="O239" s="18">
        <v>0</v>
      </c>
      <c r="P239" s="13">
        <v>215</v>
      </c>
      <c r="Q239" s="18">
        <v>1</v>
      </c>
      <c r="R239" s="7"/>
      <c r="S239" s="7"/>
      <c r="T239" s="7">
        <v>0</v>
      </c>
      <c r="U239" s="7">
        <v>0</v>
      </c>
    </row>
    <row r="240" spans="1:21" x14ac:dyDescent="0.35">
      <c r="A240" s="9" t="s">
        <v>150</v>
      </c>
      <c r="B240" s="9" t="s">
        <v>144</v>
      </c>
      <c r="C240" s="9" t="s">
        <v>154</v>
      </c>
      <c r="D240" s="9" t="s">
        <v>156</v>
      </c>
      <c r="E240" s="10">
        <v>1.68</v>
      </c>
      <c r="F240" s="16">
        <v>5.1999999999999998E-2</v>
      </c>
      <c r="G240" s="16">
        <v>0.65489999999999993</v>
      </c>
      <c r="H240" s="12">
        <v>319</v>
      </c>
      <c r="I240" s="12">
        <v>319</v>
      </c>
      <c r="J240" s="10">
        <v>935790.43</v>
      </c>
      <c r="K240" s="10">
        <v>2933.51</v>
      </c>
      <c r="L240" s="12">
        <v>0</v>
      </c>
      <c r="M240" s="16">
        <v>0</v>
      </c>
      <c r="N240" s="12">
        <v>0</v>
      </c>
      <c r="O240" s="16">
        <v>0</v>
      </c>
      <c r="P240" s="12">
        <v>319</v>
      </c>
      <c r="Q240" s="16">
        <v>1</v>
      </c>
      <c r="R240" s="10"/>
      <c r="S240" s="10"/>
      <c r="T240" s="10">
        <v>0</v>
      </c>
      <c r="U240" s="10">
        <v>0</v>
      </c>
    </row>
    <row r="241" spans="1:21" x14ac:dyDescent="0.35">
      <c r="A241" s="6" t="s">
        <v>143</v>
      </c>
      <c r="B241" s="6" t="s">
        <v>140</v>
      </c>
      <c r="C241" s="6" t="s">
        <v>155</v>
      </c>
      <c r="D241" s="6" t="s">
        <v>142</v>
      </c>
      <c r="E241" s="7">
        <v>9.23</v>
      </c>
      <c r="F241" s="18">
        <v>0.99</v>
      </c>
      <c r="G241" s="18">
        <v>0.64500000000000002</v>
      </c>
      <c r="H241" s="13">
        <v>220</v>
      </c>
      <c r="I241" s="13">
        <v>220</v>
      </c>
      <c r="J241" s="7">
        <v>929429.08</v>
      </c>
      <c r="K241" s="7">
        <v>4224.68</v>
      </c>
      <c r="L241" s="13">
        <v>0</v>
      </c>
      <c r="M241" s="18">
        <v>0</v>
      </c>
      <c r="N241" s="13">
        <v>0</v>
      </c>
      <c r="O241" s="18">
        <v>0</v>
      </c>
      <c r="P241" s="13">
        <v>220</v>
      </c>
      <c r="Q241" s="18">
        <v>1</v>
      </c>
      <c r="R241" s="7"/>
      <c r="S241" s="7"/>
      <c r="T241" s="7">
        <v>0</v>
      </c>
      <c r="U241" s="7">
        <v>0</v>
      </c>
    </row>
    <row r="242" spans="1:21" x14ac:dyDescent="0.35">
      <c r="A242" s="9" t="s">
        <v>150</v>
      </c>
      <c r="B242" s="9" t="s">
        <v>144</v>
      </c>
      <c r="C242" s="9" t="s">
        <v>155</v>
      </c>
      <c r="D242" s="9" t="s">
        <v>142</v>
      </c>
      <c r="E242" s="10">
        <v>9.11</v>
      </c>
      <c r="F242" s="16">
        <v>0.98849999999999993</v>
      </c>
      <c r="G242" s="16">
        <v>0.62119999999999997</v>
      </c>
      <c r="H242" s="12">
        <v>200</v>
      </c>
      <c r="I242" s="12">
        <v>200</v>
      </c>
      <c r="J242" s="10">
        <v>906098.99</v>
      </c>
      <c r="K242" s="10">
        <v>4530.49</v>
      </c>
      <c r="L242" s="12">
        <v>0</v>
      </c>
      <c r="M242" s="16">
        <v>0</v>
      </c>
      <c r="N242" s="12">
        <v>0</v>
      </c>
      <c r="O242" s="16">
        <v>0</v>
      </c>
      <c r="P242" s="12">
        <v>200</v>
      </c>
      <c r="Q242" s="16">
        <v>1</v>
      </c>
      <c r="R242" s="10"/>
      <c r="S242" s="10"/>
      <c r="T242" s="10">
        <v>0</v>
      </c>
      <c r="U242" s="10">
        <v>0</v>
      </c>
    </row>
    <row r="243" spans="1:21" x14ac:dyDescent="0.35">
      <c r="A243" s="6" t="s">
        <v>146</v>
      </c>
      <c r="B243" s="6" t="s">
        <v>145</v>
      </c>
      <c r="C243" s="6" t="s">
        <v>154</v>
      </c>
      <c r="D243" s="6" t="s">
        <v>156</v>
      </c>
      <c r="E243" s="7">
        <v>1.76</v>
      </c>
      <c r="F243" s="18">
        <v>5.4800000000000001E-2</v>
      </c>
      <c r="G243" s="18">
        <v>0.65329999999999999</v>
      </c>
      <c r="H243" s="13">
        <v>284</v>
      </c>
      <c r="I243" s="13">
        <v>284</v>
      </c>
      <c r="J243" s="7">
        <v>896642.64</v>
      </c>
      <c r="K243" s="7">
        <v>3157.19</v>
      </c>
      <c r="L243" s="13">
        <v>0</v>
      </c>
      <c r="M243" s="18">
        <v>0</v>
      </c>
      <c r="N243" s="13">
        <v>0</v>
      </c>
      <c r="O243" s="18">
        <v>0</v>
      </c>
      <c r="P243" s="13">
        <v>284</v>
      </c>
      <c r="Q243" s="18">
        <v>1</v>
      </c>
      <c r="R243" s="7"/>
      <c r="S243" s="7"/>
      <c r="T243" s="7">
        <v>0</v>
      </c>
      <c r="U243" s="7">
        <v>0</v>
      </c>
    </row>
    <row r="244" spans="1:21" x14ac:dyDescent="0.35">
      <c r="A244" s="9" t="s">
        <v>149</v>
      </c>
      <c r="B244" s="9" t="s">
        <v>147</v>
      </c>
      <c r="C244" s="9" t="s">
        <v>154</v>
      </c>
      <c r="D244" s="9" t="s">
        <v>156</v>
      </c>
      <c r="E244" s="10">
        <v>1.55</v>
      </c>
      <c r="F244" s="16">
        <v>0.04</v>
      </c>
      <c r="G244" s="16">
        <v>0.64119999999999999</v>
      </c>
      <c r="H244" s="12">
        <v>294</v>
      </c>
      <c r="I244" s="12">
        <v>294</v>
      </c>
      <c r="J244" s="10">
        <v>884167.65</v>
      </c>
      <c r="K244" s="10">
        <v>3007.37</v>
      </c>
      <c r="L244" s="12">
        <v>0</v>
      </c>
      <c r="M244" s="16">
        <v>0</v>
      </c>
      <c r="N244" s="12">
        <v>0</v>
      </c>
      <c r="O244" s="16">
        <v>0</v>
      </c>
      <c r="P244" s="12">
        <v>294</v>
      </c>
      <c r="Q244" s="16">
        <v>1</v>
      </c>
      <c r="R244" s="10"/>
      <c r="S244" s="10"/>
      <c r="T244" s="10">
        <v>0</v>
      </c>
      <c r="U244" s="10">
        <v>0</v>
      </c>
    </row>
    <row r="245" spans="1:21" x14ac:dyDescent="0.35">
      <c r="A245" s="6" t="s">
        <v>139</v>
      </c>
      <c r="B245" s="6" t="s">
        <v>145</v>
      </c>
      <c r="C245" s="6" t="s">
        <v>154</v>
      </c>
      <c r="D245" s="6" t="s">
        <v>156</v>
      </c>
      <c r="E245" s="7">
        <v>1.74</v>
      </c>
      <c r="F245" s="18">
        <v>4.5499999999999999E-2</v>
      </c>
      <c r="G245" s="18">
        <v>0.65549999999999997</v>
      </c>
      <c r="H245" s="13">
        <v>300</v>
      </c>
      <c r="I245" s="13">
        <v>300</v>
      </c>
      <c r="J245" s="7">
        <v>880055.78</v>
      </c>
      <c r="K245" s="7">
        <v>2933.52</v>
      </c>
      <c r="L245" s="13">
        <v>0</v>
      </c>
      <c r="M245" s="18">
        <v>0</v>
      </c>
      <c r="N245" s="13">
        <v>0</v>
      </c>
      <c r="O245" s="18">
        <v>0</v>
      </c>
      <c r="P245" s="13">
        <v>300</v>
      </c>
      <c r="Q245" s="18">
        <v>1</v>
      </c>
      <c r="R245" s="7"/>
      <c r="S245" s="7"/>
      <c r="T245" s="7">
        <v>0</v>
      </c>
      <c r="U245" s="7">
        <v>0</v>
      </c>
    </row>
    <row r="246" spans="1:21" x14ac:dyDescent="0.35">
      <c r="A246" s="9" t="s">
        <v>149</v>
      </c>
      <c r="B246" s="9" t="s">
        <v>140</v>
      </c>
      <c r="C246" s="9" t="s">
        <v>155</v>
      </c>
      <c r="D246" s="9" t="s">
        <v>156</v>
      </c>
      <c r="E246" s="10">
        <v>1.68</v>
      </c>
      <c r="F246" s="16">
        <v>3.9100000000000003E-2</v>
      </c>
      <c r="G246" s="16">
        <v>0.65370000000000006</v>
      </c>
      <c r="H246" s="12">
        <v>194</v>
      </c>
      <c r="I246" s="12">
        <v>194</v>
      </c>
      <c r="J246" s="10">
        <v>878627.25</v>
      </c>
      <c r="K246" s="10">
        <v>4529.01</v>
      </c>
      <c r="L246" s="12">
        <v>0</v>
      </c>
      <c r="M246" s="16">
        <v>0</v>
      </c>
      <c r="N246" s="12">
        <v>0</v>
      </c>
      <c r="O246" s="16">
        <v>0</v>
      </c>
      <c r="P246" s="12">
        <v>194</v>
      </c>
      <c r="Q246" s="16">
        <v>1</v>
      </c>
      <c r="R246" s="10"/>
      <c r="S246" s="10"/>
      <c r="T246" s="10">
        <v>0</v>
      </c>
      <c r="U246" s="10">
        <v>0</v>
      </c>
    </row>
    <row r="247" spans="1:21" x14ac:dyDescent="0.35">
      <c r="A247" s="6" t="s">
        <v>146</v>
      </c>
      <c r="B247" s="6" t="s">
        <v>145</v>
      </c>
      <c r="C247" s="6" t="s">
        <v>155</v>
      </c>
      <c r="D247" s="6" t="s">
        <v>142</v>
      </c>
      <c r="E247" s="7">
        <v>9.43</v>
      </c>
      <c r="F247" s="18">
        <v>0.99360000000000004</v>
      </c>
      <c r="G247" s="18">
        <v>0.66409999999999991</v>
      </c>
      <c r="H247" s="13">
        <v>216</v>
      </c>
      <c r="I247" s="13">
        <v>216</v>
      </c>
      <c r="J247" s="7">
        <v>874406.08</v>
      </c>
      <c r="K247" s="7">
        <v>4048.18</v>
      </c>
      <c r="L247" s="13">
        <v>0</v>
      </c>
      <c r="M247" s="18">
        <v>0</v>
      </c>
      <c r="N247" s="13">
        <v>0</v>
      </c>
      <c r="O247" s="18">
        <v>0</v>
      </c>
      <c r="P247" s="13">
        <v>216</v>
      </c>
      <c r="Q247" s="18">
        <v>1</v>
      </c>
      <c r="R247" s="7"/>
      <c r="S247" s="7"/>
      <c r="T247" s="7">
        <v>0</v>
      </c>
      <c r="U247" s="7">
        <v>0</v>
      </c>
    </row>
    <row r="248" spans="1:21" x14ac:dyDescent="0.35">
      <c r="A248" s="9" t="s">
        <v>143</v>
      </c>
      <c r="B248" s="9" t="s">
        <v>144</v>
      </c>
      <c r="C248" s="9" t="s">
        <v>154</v>
      </c>
      <c r="D248" s="9" t="s">
        <v>156</v>
      </c>
      <c r="E248" s="10">
        <v>1.58</v>
      </c>
      <c r="F248" s="16">
        <v>5.2900000000000003E-2</v>
      </c>
      <c r="G248" s="16">
        <v>0.64430000000000009</v>
      </c>
      <c r="H248" s="12">
        <v>292</v>
      </c>
      <c r="I248" s="12">
        <v>292</v>
      </c>
      <c r="J248" s="10">
        <v>856188.24</v>
      </c>
      <c r="K248" s="10">
        <v>2932.15</v>
      </c>
      <c r="L248" s="12">
        <v>0</v>
      </c>
      <c r="M248" s="16">
        <v>0</v>
      </c>
      <c r="N248" s="12">
        <v>0</v>
      </c>
      <c r="O248" s="16">
        <v>0</v>
      </c>
      <c r="P248" s="12">
        <v>292</v>
      </c>
      <c r="Q248" s="16">
        <v>1</v>
      </c>
      <c r="R248" s="10"/>
      <c r="S248" s="10"/>
      <c r="T248" s="10">
        <v>0</v>
      </c>
      <c r="U248" s="10">
        <v>0</v>
      </c>
    </row>
    <row r="249" spans="1:21" x14ac:dyDescent="0.35">
      <c r="A249" s="6" t="s">
        <v>150</v>
      </c>
      <c r="B249" s="6" t="s">
        <v>144</v>
      </c>
      <c r="C249" s="6" t="s">
        <v>141</v>
      </c>
      <c r="D249" s="6" t="s">
        <v>156</v>
      </c>
      <c r="E249" s="7">
        <v>1.67</v>
      </c>
      <c r="F249" s="18">
        <v>5.2699999999999997E-2</v>
      </c>
      <c r="G249" s="18">
        <v>0.64269999999999994</v>
      </c>
      <c r="H249" s="13">
        <v>320</v>
      </c>
      <c r="I249" s="13">
        <v>320</v>
      </c>
      <c r="J249" s="7">
        <v>848667.97</v>
      </c>
      <c r="K249" s="7">
        <v>2652.09</v>
      </c>
      <c r="L249" s="13">
        <v>0</v>
      </c>
      <c r="M249" s="18">
        <v>0</v>
      </c>
      <c r="N249" s="13">
        <v>320</v>
      </c>
      <c r="O249" s="18">
        <v>1</v>
      </c>
      <c r="P249" s="13">
        <v>0</v>
      </c>
      <c r="Q249" s="18">
        <v>0</v>
      </c>
      <c r="R249" s="7"/>
      <c r="S249" s="7">
        <v>2652.0874062500002</v>
      </c>
      <c r="T249" s="7">
        <v>0</v>
      </c>
      <c r="U249" s="7">
        <v>377.06147906112221</v>
      </c>
    </row>
    <row r="250" spans="1:21" x14ac:dyDescent="0.35">
      <c r="A250" s="9" t="s">
        <v>146</v>
      </c>
      <c r="B250" s="9" t="s">
        <v>151</v>
      </c>
      <c r="C250" s="9" t="s">
        <v>154</v>
      </c>
      <c r="D250" s="9" t="s">
        <v>156</v>
      </c>
      <c r="E250" s="10">
        <v>1.64</v>
      </c>
      <c r="F250" s="16">
        <v>4.4400000000000002E-2</v>
      </c>
      <c r="G250" s="16">
        <v>0.6493000000000001</v>
      </c>
      <c r="H250" s="12">
        <v>303</v>
      </c>
      <c r="I250" s="12">
        <v>303</v>
      </c>
      <c r="J250" s="10">
        <v>839874.35</v>
      </c>
      <c r="K250" s="10">
        <v>2771.86</v>
      </c>
      <c r="L250" s="12">
        <v>0</v>
      </c>
      <c r="M250" s="16">
        <v>0</v>
      </c>
      <c r="N250" s="12">
        <v>0</v>
      </c>
      <c r="O250" s="16">
        <v>0</v>
      </c>
      <c r="P250" s="12">
        <v>303</v>
      </c>
      <c r="Q250" s="16">
        <v>1</v>
      </c>
      <c r="R250" s="10"/>
      <c r="S250" s="10"/>
      <c r="T250" s="10">
        <v>0</v>
      </c>
      <c r="U250" s="10">
        <v>0</v>
      </c>
    </row>
    <row r="251" spans="1:21" x14ac:dyDescent="0.35">
      <c r="A251" s="6" t="s">
        <v>146</v>
      </c>
      <c r="B251" s="6" t="s">
        <v>148</v>
      </c>
      <c r="C251" s="6" t="s">
        <v>155</v>
      </c>
      <c r="D251" s="6" t="s">
        <v>142</v>
      </c>
      <c r="E251" s="7">
        <v>9.0299999999999994</v>
      </c>
      <c r="F251" s="18">
        <v>0.995</v>
      </c>
      <c r="G251" s="18">
        <v>0.65370000000000006</v>
      </c>
      <c r="H251" s="13">
        <v>215</v>
      </c>
      <c r="I251" s="13">
        <v>215</v>
      </c>
      <c r="J251" s="7">
        <v>839074.43</v>
      </c>
      <c r="K251" s="7">
        <v>3902.67</v>
      </c>
      <c r="L251" s="13">
        <v>0</v>
      </c>
      <c r="M251" s="18">
        <v>0</v>
      </c>
      <c r="N251" s="13">
        <v>0</v>
      </c>
      <c r="O251" s="18">
        <v>0</v>
      </c>
      <c r="P251" s="13">
        <v>215</v>
      </c>
      <c r="Q251" s="18">
        <v>1</v>
      </c>
      <c r="R251" s="7"/>
      <c r="S251" s="7"/>
      <c r="T251" s="7">
        <v>0</v>
      </c>
      <c r="U251" s="7">
        <v>0</v>
      </c>
    </row>
    <row r="252" spans="1:21" x14ac:dyDescent="0.35">
      <c r="A252" s="9" t="s">
        <v>143</v>
      </c>
      <c r="B252" s="9" t="s">
        <v>140</v>
      </c>
      <c r="C252" s="9" t="s">
        <v>155</v>
      </c>
      <c r="D252" s="9" t="s">
        <v>156</v>
      </c>
      <c r="E252" s="10">
        <v>1.57</v>
      </c>
      <c r="F252" s="16">
        <v>4.4200000000000003E-2</v>
      </c>
      <c r="G252" s="16">
        <v>0.64900000000000002</v>
      </c>
      <c r="H252" s="12">
        <v>215</v>
      </c>
      <c r="I252" s="12">
        <v>215</v>
      </c>
      <c r="J252" s="10">
        <v>813054.14</v>
      </c>
      <c r="K252" s="10">
        <v>3781.65</v>
      </c>
      <c r="L252" s="12">
        <v>0</v>
      </c>
      <c r="M252" s="16">
        <v>0</v>
      </c>
      <c r="N252" s="12">
        <v>0</v>
      </c>
      <c r="O252" s="16">
        <v>0</v>
      </c>
      <c r="P252" s="12">
        <v>215</v>
      </c>
      <c r="Q252" s="16">
        <v>1</v>
      </c>
      <c r="R252" s="10"/>
      <c r="S252" s="10"/>
      <c r="T252" s="10">
        <v>0</v>
      </c>
      <c r="U252" s="10">
        <v>0</v>
      </c>
    </row>
    <row r="253" spans="1:21" x14ac:dyDescent="0.35">
      <c r="A253" s="6" t="s">
        <v>149</v>
      </c>
      <c r="B253" s="6" t="s">
        <v>151</v>
      </c>
      <c r="C253" s="6" t="s">
        <v>155</v>
      </c>
      <c r="D253" s="6" t="s">
        <v>142</v>
      </c>
      <c r="E253" s="7">
        <v>9.0500000000000007</v>
      </c>
      <c r="F253" s="18">
        <v>0.99029999999999996</v>
      </c>
      <c r="G253" s="18">
        <v>0.62990000000000002</v>
      </c>
      <c r="H253" s="13">
        <v>235</v>
      </c>
      <c r="I253" s="13">
        <v>235</v>
      </c>
      <c r="J253" s="7">
        <v>810262.2</v>
      </c>
      <c r="K253" s="7">
        <v>3447.92</v>
      </c>
      <c r="L253" s="13">
        <v>0</v>
      </c>
      <c r="M253" s="18">
        <v>0</v>
      </c>
      <c r="N253" s="13">
        <v>0</v>
      </c>
      <c r="O253" s="18">
        <v>0</v>
      </c>
      <c r="P253" s="13">
        <v>235</v>
      </c>
      <c r="Q253" s="18">
        <v>1</v>
      </c>
      <c r="R253" s="7"/>
      <c r="S253" s="7"/>
      <c r="T253" s="7">
        <v>0</v>
      </c>
      <c r="U253" s="7">
        <v>0</v>
      </c>
    </row>
    <row r="254" spans="1:21" x14ac:dyDescent="0.35">
      <c r="A254" s="9" t="s">
        <v>143</v>
      </c>
      <c r="B254" s="9" t="s">
        <v>144</v>
      </c>
      <c r="C254" s="9" t="s">
        <v>141</v>
      </c>
      <c r="D254" s="9" t="s">
        <v>156</v>
      </c>
      <c r="E254" s="10">
        <v>1.52</v>
      </c>
      <c r="F254" s="16">
        <v>4.1900000000000007E-2</v>
      </c>
      <c r="G254" s="16">
        <v>0.63100000000000001</v>
      </c>
      <c r="H254" s="12">
        <v>339</v>
      </c>
      <c r="I254" s="12">
        <v>339</v>
      </c>
      <c r="J254" s="10">
        <v>809855.94</v>
      </c>
      <c r="K254" s="10">
        <v>2388.96</v>
      </c>
      <c r="L254" s="12">
        <v>0</v>
      </c>
      <c r="M254" s="16">
        <v>0</v>
      </c>
      <c r="N254" s="12">
        <v>339</v>
      </c>
      <c r="O254" s="16">
        <v>1</v>
      </c>
      <c r="P254" s="12">
        <v>0</v>
      </c>
      <c r="Q254" s="16">
        <v>0</v>
      </c>
      <c r="R254" s="10"/>
      <c r="S254" s="10">
        <v>2388.9555752212391</v>
      </c>
      <c r="T254" s="10">
        <v>0</v>
      </c>
      <c r="U254" s="10">
        <v>418.59296605270322</v>
      </c>
    </row>
    <row r="255" spans="1:21" x14ac:dyDescent="0.35">
      <c r="A255" s="6" t="s">
        <v>149</v>
      </c>
      <c r="B255" s="6" t="s">
        <v>148</v>
      </c>
      <c r="C255" s="6" t="s">
        <v>155</v>
      </c>
      <c r="D255" s="6" t="s">
        <v>156</v>
      </c>
      <c r="E255" s="7">
        <v>1.57</v>
      </c>
      <c r="F255" s="18">
        <v>4.1500000000000002E-2</v>
      </c>
      <c r="G255" s="18">
        <v>0.62590000000000001</v>
      </c>
      <c r="H255" s="13">
        <v>228</v>
      </c>
      <c r="I255" s="13">
        <v>228</v>
      </c>
      <c r="J255" s="7">
        <v>803692.42</v>
      </c>
      <c r="K255" s="7">
        <v>3524.97</v>
      </c>
      <c r="L255" s="13">
        <v>0</v>
      </c>
      <c r="M255" s="18">
        <v>0</v>
      </c>
      <c r="N255" s="13">
        <v>0</v>
      </c>
      <c r="O255" s="18">
        <v>0</v>
      </c>
      <c r="P255" s="13">
        <v>228</v>
      </c>
      <c r="Q255" s="18">
        <v>1</v>
      </c>
      <c r="R255" s="7"/>
      <c r="S255" s="7"/>
      <c r="T255" s="7">
        <v>0</v>
      </c>
      <c r="U255" s="7">
        <v>0</v>
      </c>
    </row>
    <row r="256" spans="1:21" x14ac:dyDescent="0.35">
      <c r="A256" s="9" t="s">
        <v>149</v>
      </c>
      <c r="B256" s="9" t="s">
        <v>147</v>
      </c>
      <c r="C256" s="9" t="s">
        <v>155</v>
      </c>
      <c r="D256" s="9" t="s">
        <v>142</v>
      </c>
      <c r="E256" s="10">
        <v>8.94</v>
      </c>
      <c r="F256" s="16">
        <v>0.99340000000000006</v>
      </c>
      <c r="G256" s="16">
        <v>0.64349999999999996</v>
      </c>
      <c r="H256" s="12">
        <v>196</v>
      </c>
      <c r="I256" s="12">
        <v>196</v>
      </c>
      <c r="J256" s="10">
        <v>801282.81</v>
      </c>
      <c r="K256" s="10">
        <v>4088.18</v>
      </c>
      <c r="L256" s="12">
        <v>0</v>
      </c>
      <c r="M256" s="16">
        <v>0</v>
      </c>
      <c r="N256" s="12">
        <v>0</v>
      </c>
      <c r="O256" s="16">
        <v>0</v>
      </c>
      <c r="P256" s="12">
        <v>196</v>
      </c>
      <c r="Q256" s="16">
        <v>1</v>
      </c>
      <c r="R256" s="10"/>
      <c r="S256" s="10"/>
      <c r="T256" s="10">
        <v>0</v>
      </c>
      <c r="U256" s="10">
        <v>0</v>
      </c>
    </row>
    <row r="257" spans="1:21" x14ac:dyDescent="0.35">
      <c r="A257" s="6" t="s">
        <v>150</v>
      </c>
      <c r="B257" s="6" t="s">
        <v>140</v>
      </c>
      <c r="C257" s="6" t="s">
        <v>155</v>
      </c>
      <c r="D257" s="6" t="s">
        <v>156</v>
      </c>
      <c r="E257" s="7">
        <v>1.61</v>
      </c>
      <c r="F257" s="18">
        <v>4.0399999999999998E-2</v>
      </c>
      <c r="G257" s="18">
        <v>0.64349999999999996</v>
      </c>
      <c r="H257" s="13">
        <v>223</v>
      </c>
      <c r="I257" s="13">
        <v>223</v>
      </c>
      <c r="J257" s="7">
        <v>800675.31</v>
      </c>
      <c r="K257" s="7">
        <v>3590.47</v>
      </c>
      <c r="L257" s="13">
        <v>0</v>
      </c>
      <c r="M257" s="18">
        <v>0</v>
      </c>
      <c r="N257" s="13">
        <v>0</v>
      </c>
      <c r="O257" s="18">
        <v>0</v>
      </c>
      <c r="P257" s="13">
        <v>223</v>
      </c>
      <c r="Q257" s="18">
        <v>1</v>
      </c>
      <c r="R257" s="7"/>
      <c r="S257" s="7"/>
      <c r="T257" s="7">
        <v>0</v>
      </c>
      <c r="U257" s="7">
        <v>0</v>
      </c>
    </row>
    <row r="258" spans="1:21" x14ac:dyDescent="0.35">
      <c r="A258" s="9" t="s">
        <v>150</v>
      </c>
      <c r="B258" s="9" t="s">
        <v>144</v>
      </c>
      <c r="C258" s="9" t="s">
        <v>155</v>
      </c>
      <c r="D258" s="9" t="s">
        <v>156</v>
      </c>
      <c r="E258" s="10">
        <v>1.51</v>
      </c>
      <c r="F258" s="16">
        <v>4.4600000000000001E-2</v>
      </c>
      <c r="G258" s="16">
        <v>0.64349999999999996</v>
      </c>
      <c r="H258" s="12">
        <v>232</v>
      </c>
      <c r="I258" s="12">
        <v>232</v>
      </c>
      <c r="J258" s="10">
        <v>799800.54</v>
      </c>
      <c r="K258" s="10">
        <v>3447.42</v>
      </c>
      <c r="L258" s="12">
        <v>0</v>
      </c>
      <c r="M258" s="16">
        <v>0</v>
      </c>
      <c r="N258" s="12">
        <v>0</v>
      </c>
      <c r="O258" s="16">
        <v>0</v>
      </c>
      <c r="P258" s="12">
        <v>232</v>
      </c>
      <c r="Q258" s="16">
        <v>1</v>
      </c>
      <c r="R258" s="10"/>
      <c r="S258" s="10"/>
      <c r="T258" s="10">
        <v>0</v>
      </c>
      <c r="U258" s="10">
        <v>0</v>
      </c>
    </row>
    <row r="259" spans="1:21" x14ac:dyDescent="0.35">
      <c r="A259" s="6" t="s">
        <v>139</v>
      </c>
      <c r="B259" s="6" t="s">
        <v>145</v>
      </c>
      <c r="C259" s="6" t="s">
        <v>155</v>
      </c>
      <c r="D259" s="6" t="s">
        <v>156</v>
      </c>
      <c r="E259" s="7">
        <v>1.73</v>
      </c>
      <c r="F259" s="18">
        <v>4.1900000000000007E-2</v>
      </c>
      <c r="G259" s="18">
        <v>0.64540000000000008</v>
      </c>
      <c r="H259" s="13">
        <v>214</v>
      </c>
      <c r="I259" s="13">
        <v>214</v>
      </c>
      <c r="J259" s="7">
        <v>798209.46</v>
      </c>
      <c r="K259" s="7">
        <v>3729.95</v>
      </c>
      <c r="L259" s="13">
        <v>0</v>
      </c>
      <c r="M259" s="18">
        <v>0</v>
      </c>
      <c r="N259" s="13">
        <v>0</v>
      </c>
      <c r="O259" s="18">
        <v>0</v>
      </c>
      <c r="P259" s="13">
        <v>214</v>
      </c>
      <c r="Q259" s="18">
        <v>1</v>
      </c>
      <c r="R259" s="7"/>
      <c r="S259" s="7"/>
      <c r="T259" s="7">
        <v>0</v>
      </c>
      <c r="U259" s="7">
        <v>0</v>
      </c>
    </row>
    <row r="260" spans="1:21" x14ac:dyDescent="0.35">
      <c r="A260" s="9" t="s">
        <v>150</v>
      </c>
      <c r="B260" s="9" t="s">
        <v>148</v>
      </c>
      <c r="C260" s="9" t="s">
        <v>154</v>
      </c>
      <c r="D260" s="9" t="s">
        <v>156</v>
      </c>
      <c r="E260" s="10">
        <v>1.59</v>
      </c>
      <c r="F260" s="16">
        <v>3.5700000000000003E-2</v>
      </c>
      <c r="G260" s="16">
        <v>0.66180000000000005</v>
      </c>
      <c r="H260" s="12">
        <v>295</v>
      </c>
      <c r="I260" s="12">
        <v>295</v>
      </c>
      <c r="J260" s="10">
        <v>790209.55</v>
      </c>
      <c r="K260" s="10">
        <v>2678.68</v>
      </c>
      <c r="L260" s="12">
        <v>0</v>
      </c>
      <c r="M260" s="16">
        <v>0</v>
      </c>
      <c r="N260" s="12">
        <v>0</v>
      </c>
      <c r="O260" s="16">
        <v>0</v>
      </c>
      <c r="P260" s="12">
        <v>295</v>
      </c>
      <c r="Q260" s="16">
        <v>1</v>
      </c>
      <c r="R260" s="10"/>
      <c r="S260" s="10"/>
      <c r="T260" s="10">
        <v>0</v>
      </c>
      <c r="U260" s="10">
        <v>0</v>
      </c>
    </row>
    <row r="261" spans="1:21" x14ac:dyDescent="0.35">
      <c r="A261" s="6" t="s">
        <v>150</v>
      </c>
      <c r="B261" s="6" t="s">
        <v>151</v>
      </c>
      <c r="C261" s="6" t="s">
        <v>155</v>
      </c>
      <c r="D261" s="6" t="s">
        <v>142</v>
      </c>
      <c r="E261" s="7">
        <v>9.24</v>
      </c>
      <c r="F261" s="18">
        <v>0.98919999999999997</v>
      </c>
      <c r="G261" s="18">
        <v>0.6604000000000001</v>
      </c>
      <c r="H261" s="13">
        <v>215</v>
      </c>
      <c r="I261" s="13">
        <v>215</v>
      </c>
      <c r="J261" s="7">
        <v>781903.83</v>
      </c>
      <c r="K261" s="7">
        <v>3636.76</v>
      </c>
      <c r="L261" s="13">
        <v>0</v>
      </c>
      <c r="M261" s="18">
        <v>0</v>
      </c>
      <c r="N261" s="13">
        <v>0</v>
      </c>
      <c r="O261" s="18">
        <v>0</v>
      </c>
      <c r="P261" s="13">
        <v>215</v>
      </c>
      <c r="Q261" s="18">
        <v>1</v>
      </c>
      <c r="R261" s="7"/>
      <c r="S261" s="7"/>
      <c r="T261" s="7">
        <v>0</v>
      </c>
      <c r="U261" s="7">
        <v>0</v>
      </c>
    </row>
    <row r="262" spans="1:21" x14ac:dyDescent="0.35">
      <c r="A262" s="9" t="s">
        <v>149</v>
      </c>
      <c r="B262" s="9" t="s">
        <v>144</v>
      </c>
      <c r="C262" s="9" t="s">
        <v>154</v>
      </c>
      <c r="D262" s="9" t="s">
        <v>156</v>
      </c>
      <c r="E262" s="10">
        <v>1.58</v>
      </c>
      <c r="F262" s="16">
        <v>4.53E-2</v>
      </c>
      <c r="G262" s="16">
        <v>0.65010000000000001</v>
      </c>
      <c r="H262" s="12">
        <v>291</v>
      </c>
      <c r="I262" s="12">
        <v>291</v>
      </c>
      <c r="J262" s="10">
        <v>770632.37</v>
      </c>
      <c r="K262" s="10">
        <v>2648.22</v>
      </c>
      <c r="L262" s="12">
        <v>0</v>
      </c>
      <c r="M262" s="16">
        <v>0</v>
      </c>
      <c r="N262" s="12">
        <v>0</v>
      </c>
      <c r="O262" s="16">
        <v>0</v>
      </c>
      <c r="P262" s="12">
        <v>291</v>
      </c>
      <c r="Q262" s="16">
        <v>1</v>
      </c>
      <c r="R262" s="10"/>
      <c r="S262" s="10"/>
      <c r="T262" s="10">
        <v>0</v>
      </c>
      <c r="U262" s="10">
        <v>0</v>
      </c>
    </row>
    <row r="263" spans="1:21" x14ac:dyDescent="0.35">
      <c r="A263" s="6" t="s">
        <v>149</v>
      </c>
      <c r="B263" s="6" t="s">
        <v>140</v>
      </c>
      <c r="C263" s="6" t="s">
        <v>155</v>
      </c>
      <c r="D263" s="6" t="s">
        <v>142</v>
      </c>
      <c r="E263" s="7">
        <v>9.26</v>
      </c>
      <c r="F263" s="18">
        <v>0.99360000000000004</v>
      </c>
      <c r="G263" s="18">
        <v>0.64739999999999998</v>
      </c>
      <c r="H263" s="13">
        <v>165</v>
      </c>
      <c r="I263" s="13">
        <v>165</v>
      </c>
      <c r="J263" s="7">
        <v>765613.17</v>
      </c>
      <c r="K263" s="7">
        <v>4640.08</v>
      </c>
      <c r="L263" s="13">
        <v>0</v>
      </c>
      <c r="M263" s="18">
        <v>0</v>
      </c>
      <c r="N263" s="13">
        <v>0</v>
      </c>
      <c r="O263" s="18">
        <v>0</v>
      </c>
      <c r="P263" s="13">
        <v>165</v>
      </c>
      <c r="Q263" s="18">
        <v>1</v>
      </c>
      <c r="R263" s="7"/>
      <c r="S263" s="7"/>
      <c r="T263" s="7">
        <v>0</v>
      </c>
      <c r="U263" s="7">
        <v>0</v>
      </c>
    </row>
    <row r="264" spans="1:21" x14ac:dyDescent="0.35">
      <c r="A264" s="9" t="s">
        <v>149</v>
      </c>
      <c r="B264" s="9" t="s">
        <v>151</v>
      </c>
      <c r="C264" s="9" t="s">
        <v>154</v>
      </c>
      <c r="D264" s="9" t="s">
        <v>156</v>
      </c>
      <c r="E264" s="10">
        <v>1.57</v>
      </c>
      <c r="F264" s="16">
        <v>4.0899999999999999E-2</v>
      </c>
      <c r="G264" s="16">
        <v>0.65639999999999998</v>
      </c>
      <c r="H264" s="12">
        <v>301</v>
      </c>
      <c r="I264" s="12">
        <v>301</v>
      </c>
      <c r="J264" s="10">
        <v>761423.35999999999</v>
      </c>
      <c r="K264" s="10">
        <v>2529.65</v>
      </c>
      <c r="L264" s="12">
        <v>0</v>
      </c>
      <c r="M264" s="16">
        <v>0</v>
      </c>
      <c r="N264" s="12">
        <v>0</v>
      </c>
      <c r="O264" s="16">
        <v>0</v>
      </c>
      <c r="P264" s="12">
        <v>301</v>
      </c>
      <c r="Q264" s="16">
        <v>1</v>
      </c>
      <c r="R264" s="10"/>
      <c r="S264" s="10"/>
      <c r="T264" s="10">
        <v>0</v>
      </c>
      <c r="U264" s="10">
        <v>0</v>
      </c>
    </row>
    <row r="265" spans="1:21" x14ac:dyDescent="0.35">
      <c r="A265" s="6" t="s">
        <v>143</v>
      </c>
      <c r="B265" s="6" t="s">
        <v>147</v>
      </c>
      <c r="C265" s="6" t="s">
        <v>155</v>
      </c>
      <c r="D265" s="6" t="s">
        <v>142</v>
      </c>
      <c r="E265" s="7">
        <v>8.92</v>
      </c>
      <c r="F265" s="18">
        <v>0.9889</v>
      </c>
      <c r="G265" s="18">
        <v>0.64760000000000006</v>
      </c>
      <c r="H265" s="13">
        <v>206</v>
      </c>
      <c r="I265" s="13">
        <v>206</v>
      </c>
      <c r="J265" s="7">
        <v>759042.23</v>
      </c>
      <c r="K265" s="7">
        <v>3684.67</v>
      </c>
      <c r="L265" s="13">
        <v>0</v>
      </c>
      <c r="M265" s="18">
        <v>0</v>
      </c>
      <c r="N265" s="13">
        <v>0</v>
      </c>
      <c r="O265" s="18">
        <v>0</v>
      </c>
      <c r="P265" s="13">
        <v>206</v>
      </c>
      <c r="Q265" s="18">
        <v>1</v>
      </c>
      <c r="R265" s="7"/>
      <c r="S265" s="7"/>
      <c r="T265" s="7">
        <v>0</v>
      </c>
      <c r="U265" s="7">
        <v>0</v>
      </c>
    </row>
    <row r="266" spans="1:21" x14ac:dyDescent="0.35">
      <c r="A266" s="9" t="s">
        <v>139</v>
      </c>
      <c r="B266" s="9" t="s">
        <v>145</v>
      </c>
      <c r="C266" s="9" t="s">
        <v>155</v>
      </c>
      <c r="D266" s="9" t="s">
        <v>142</v>
      </c>
      <c r="E266" s="10">
        <v>9.33</v>
      </c>
      <c r="F266" s="16">
        <v>0.98809999999999998</v>
      </c>
      <c r="G266" s="16">
        <v>0.63749999999999996</v>
      </c>
      <c r="H266" s="12">
        <v>205</v>
      </c>
      <c r="I266" s="12">
        <v>205</v>
      </c>
      <c r="J266" s="10">
        <v>753391.88</v>
      </c>
      <c r="K266" s="10">
        <v>3675.08</v>
      </c>
      <c r="L266" s="12">
        <v>0</v>
      </c>
      <c r="M266" s="16">
        <v>0</v>
      </c>
      <c r="N266" s="12">
        <v>0</v>
      </c>
      <c r="O266" s="16">
        <v>0</v>
      </c>
      <c r="P266" s="12">
        <v>205</v>
      </c>
      <c r="Q266" s="16">
        <v>1</v>
      </c>
      <c r="R266" s="10"/>
      <c r="S266" s="10"/>
      <c r="T266" s="10">
        <v>0</v>
      </c>
      <c r="U266" s="10">
        <v>0</v>
      </c>
    </row>
    <row r="267" spans="1:21" x14ac:dyDescent="0.35">
      <c r="A267" s="6" t="s">
        <v>143</v>
      </c>
      <c r="B267" s="6" t="s">
        <v>148</v>
      </c>
      <c r="C267" s="6" t="s">
        <v>155</v>
      </c>
      <c r="D267" s="6" t="s">
        <v>142</v>
      </c>
      <c r="E267" s="7">
        <v>9.3699999999999992</v>
      </c>
      <c r="F267" s="18">
        <v>0.99129999999999996</v>
      </c>
      <c r="G267" s="18">
        <v>0.63840000000000008</v>
      </c>
      <c r="H267" s="13">
        <v>201</v>
      </c>
      <c r="I267" s="13">
        <v>201</v>
      </c>
      <c r="J267" s="7">
        <v>750689.21</v>
      </c>
      <c r="K267" s="7">
        <v>3734.77</v>
      </c>
      <c r="L267" s="13">
        <v>0</v>
      </c>
      <c r="M267" s="18">
        <v>0</v>
      </c>
      <c r="N267" s="13">
        <v>0</v>
      </c>
      <c r="O267" s="18">
        <v>0</v>
      </c>
      <c r="P267" s="13">
        <v>201</v>
      </c>
      <c r="Q267" s="18">
        <v>1</v>
      </c>
      <c r="R267" s="7"/>
      <c r="S267" s="7"/>
      <c r="T267" s="7">
        <v>0</v>
      </c>
      <c r="U267" s="7">
        <v>0</v>
      </c>
    </row>
    <row r="268" spans="1:21" x14ac:dyDescent="0.35">
      <c r="A268" s="9" t="s">
        <v>150</v>
      </c>
      <c r="B268" s="9" t="s">
        <v>151</v>
      </c>
      <c r="C268" s="9" t="s">
        <v>155</v>
      </c>
      <c r="D268" s="9" t="s">
        <v>156</v>
      </c>
      <c r="E268" s="10">
        <v>1.58</v>
      </c>
      <c r="F268" s="16">
        <v>4.2999999999999997E-2</v>
      </c>
      <c r="G268" s="16">
        <v>0.62329999999999997</v>
      </c>
      <c r="H268" s="12">
        <v>201</v>
      </c>
      <c r="I268" s="12">
        <v>201</v>
      </c>
      <c r="J268" s="10">
        <v>745610.55</v>
      </c>
      <c r="K268" s="10">
        <v>3709.51</v>
      </c>
      <c r="L268" s="12">
        <v>0</v>
      </c>
      <c r="M268" s="16">
        <v>0</v>
      </c>
      <c r="N268" s="12">
        <v>0</v>
      </c>
      <c r="O268" s="16">
        <v>0</v>
      </c>
      <c r="P268" s="12">
        <v>201</v>
      </c>
      <c r="Q268" s="16">
        <v>1</v>
      </c>
      <c r="R268" s="10"/>
      <c r="S268" s="10"/>
      <c r="T268" s="10">
        <v>0</v>
      </c>
      <c r="U268" s="10">
        <v>0</v>
      </c>
    </row>
    <row r="269" spans="1:21" x14ac:dyDescent="0.35">
      <c r="A269" s="6" t="s">
        <v>149</v>
      </c>
      <c r="B269" s="6" t="s">
        <v>147</v>
      </c>
      <c r="C269" s="6" t="s">
        <v>155</v>
      </c>
      <c r="D269" s="6" t="s">
        <v>156</v>
      </c>
      <c r="E269" s="7">
        <v>1.58</v>
      </c>
      <c r="F269" s="18">
        <v>4.5699999999999998E-2</v>
      </c>
      <c r="G269" s="18">
        <v>0.65720000000000001</v>
      </c>
      <c r="H269" s="13">
        <v>214</v>
      </c>
      <c r="I269" s="13">
        <v>214</v>
      </c>
      <c r="J269" s="7">
        <v>731136.81</v>
      </c>
      <c r="K269" s="7">
        <v>3416.53</v>
      </c>
      <c r="L269" s="13">
        <v>0</v>
      </c>
      <c r="M269" s="18">
        <v>0</v>
      </c>
      <c r="N269" s="13">
        <v>0</v>
      </c>
      <c r="O269" s="18">
        <v>0</v>
      </c>
      <c r="P269" s="13">
        <v>214</v>
      </c>
      <c r="Q269" s="18">
        <v>1</v>
      </c>
      <c r="R269" s="7"/>
      <c r="S269" s="7"/>
      <c r="T269" s="7">
        <v>0</v>
      </c>
      <c r="U269" s="7">
        <v>0</v>
      </c>
    </row>
    <row r="270" spans="1:21" x14ac:dyDescent="0.35">
      <c r="A270" s="9" t="s">
        <v>146</v>
      </c>
      <c r="B270" s="9" t="s">
        <v>144</v>
      </c>
      <c r="C270" s="9" t="s">
        <v>155</v>
      </c>
      <c r="D270" s="9" t="s">
        <v>156</v>
      </c>
      <c r="E270" s="10">
        <v>1.53</v>
      </c>
      <c r="F270" s="16">
        <v>4.58E-2</v>
      </c>
      <c r="G270" s="16">
        <v>0.65579999999999994</v>
      </c>
      <c r="H270" s="12">
        <v>203</v>
      </c>
      <c r="I270" s="12">
        <v>203</v>
      </c>
      <c r="J270" s="10">
        <v>706529.47</v>
      </c>
      <c r="K270" s="10">
        <v>3480.44</v>
      </c>
      <c r="L270" s="12">
        <v>0</v>
      </c>
      <c r="M270" s="16">
        <v>0</v>
      </c>
      <c r="N270" s="12">
        <v>0</v>
      </c>
      <c r="O270" s="16">
        <v>0</v>
      </c>
      <c r="P270" s="12">
        <v>203</v>
      </c>
      <c r="Q270" s="16">
        <v>1</v>
      </c>
      <c r="R270" s="10"/>
      <c r="S270" s="10"/>
      <c r="T270" s="10">
        <v>0</v>
      </c>
      <c r="U270" s="10">
        <v>0</v>
      </c>
    </row>
    <row r="271" spans="1:21" x14ac:dyDescent="0.35">
      <c r="A271" s="6" t="s">
        <v>146</v>
      </c>
      <c r="B271" s="6" t="s">
        <v>151</v>
      </c>
      <c r="C271" s="6" t="s">
        <v>155</v>
      </c>
      <c r="D271" s="6" t="s">
        <v>142</v>
      </c>
      <c r="E271" s="7">
        <v>9.26</v>
      </c>
      <c r="F271" s="18">
        <v>0.9899</v>
      </c>
      <c r="G271" s="18">
        <v>0.65310000000000001</v>
      </c>
      <c r="H271" s="13">
        <v>213</v>
      </c>
      <c r="I271" s="13">
        <v>213</v>
      </c>
      <c r="J271" s="7">
        <v>704854.93</v>
      </c>
      <c r="K271" s="7">
        <v>3309.18</v>
      </c>
      <c r="L271" s="13">
        <v>0</v>
      </c>
      <c r="M271" s="18">
        <v>0</v>
      </c>
      <c r="N271" s="13">
        <v>0</v>
      </c>
      <c r="O271" s="18">
        <v>0</v>
      </c>
      <c r="P271" s="13">
        <v>213</v>
      </c>
      <c r="Q271" s="18">
        <v>1</v>
      </c>
      <c r="R271" s="7"/>
      <c r="S271" s="7"/>
      <c r="T271" s="7">
        <v>0</v>
      </c>
      <c r="U271" s="7">
        <v>0</v>
      </c>
    </row>
    <row r="272" spans="1:21" x14ac:dyDescent="0.35">
      <c r="A272" s="9" t="s">
        <v>139</v>
      </c>
      <c r="B272" s="9" t="s">
        <v>140</v>
      </c>
      <c r="C272" s="9" t="s">
        <v>155</v>
      </c>
      <c r="D272" s="9" t="s">
        <v>156</v>
      </c>
      <c r="E272" s="10">
        <v>1.63</v>
      </c>
      <c r="F272" s="16">
        <v>3.7999999999999999E-2</v>
      </c>
      <c r="G272" s="16">
        <v>0.65639999999999998</v>
      </c>
      <c r="H272" s="12">
        <v>213</v>
      </c>
      <c r="I272" s="12">
        <v>213</v>
      </c>
      <c r="J272" s="10">
        <v>702671.32</v>
      </c>
      <c r="K272" s="10">
        <v>3298.93</v>
      </c>
      <c r="L272" s="12">
        <v>0</v>
      </c>
      <c r="M272" s="16">
        <v>0</v>
      </c>
      <c r="N272" s="12">
        <v>0</v>
      </c>
      <c r="O272" s="16">
        <v>0</v>
      </c>
      <c r="P272" s="12">
        <v>213</v>
      </c>
      <c r="Q272" s="16">
        <v>1</v>
      </c>
      <c r="R272" s="10"/>
      <c r="S272" s="10"/>
      <c r="T272" s="10">
        <v>0</v>
      </c>
      <c r="U272" s="10">
        <v>0</v>
      </c>
    </row>
    <row r="273" spans="1:21" x14ac:dyDescent="0.35">
      <c r="A273" s="6" t="s">
        <v>143</v>
      </c>
      <c r="B273" s="6" t="s">
        <v>144</v>
      </c>
      <c r="C273" s="6" t="s">
        <v>155</v>
      </c>
      <c r="D273" s="6" t="s">
        <v>142</v>
      </c>
      <c r="E273" s="7">
        <v>9.4</v>
      </c>
      <c r="F273" s="18">
        <v>0.99230000000000007</v>
      </c>
      <c r="G273" s="18">
        <v>0.66150000000000009</v>
      </c>
      <c r="H273" s="13">
        <v>217</v>
      </c>
      <c r="I273" s="13">
        <v>217</v>
      </c>
      <c r="J273" s="7">
        <v>694779.73</v>
      </c>
      <c r="K273" s="7">
        <v>3201.75</v>
      </c>
      <c r="L273" s="13">
        <v>0</v>
      </c>
      <c r="M273" s="18">
        <v>0</v>
      </c>
      <c r="N273" s="13">
        <v>0</v>
      </c>
      <c r="O273" s="18">
        <v>0</v>
      </c>
      <c r="P273" s="13">
        <v>217</v>
      </c>
      <c r="Q273" s="18">
        <v>1</v>
      </c>
      <c r="R273" s="7"/>
      <c r="S273" s="7"/>
      <c r="T273" s="7">
        <v>0</v>
      </c>
      <c r="U273" s="7">
        <v>0</v>
      </c>
    </row>
    <row r="274" spans="1:21" x14ac:dyDescent="0.35">
      <c r="A274" s="9" t="s">
        <v>143</v>
      </c>
      <c r="B274" s="9" t="s">
        <v>148</v>
      </c>
      <c r="C274" s="9" t="s">
        <v>155</v>
      </c>
      <c r="D274" s="9" t="s">
        <v>156</v>
      </c>
      <c r="E274" s="10">
        <v>1.56</v>
      </c>
      <c r="F274" s="16">
        <v>4.6699999999999998E-2</v>
      </c>
      <c r="G274" s="16">
        <v>0.64810000000000001</v>
      </c>
      <c r="H274" s="12">
        <v>198</v>
      </c>
      <c r="I274" s="12">
        <v>198</v>
      </c>
      <c r="J274" s="10">
        <v>688597.27</v>
      </c>
      <c r="K274" s="10">
        <v>3477.76</v>
      </c>
      <c r="L274" s="12">
        <v>0</v>
      </c>
      <c r="M274" s="16">
        <v>0</v>
      </c>
      <c r="N274" s="12">
        <v>0</v>
      </c>
      <c r="O274" s="16">
        <v>0</v>
      </c>
      <c r="P274" s="12">
        <v>198</v>
      </c>
      <c r="Q274" s="16">
        <v>1</v>
      </c>
      <c r="R274" s="10"/>
      <c r="S274" s="10"/>
      <c r="T274" s="10">
        <v>0</v>
      </c>
      <c r="U274" s="10">
        <v>0</v>
      </c>
    </row>
    <row r="275" spans="1:21" x14ac:dyDescent="0.35">
      <c r="A275" s="6" t="s">
        <v>146</v>
      </c>
      <c r="B275" s="6" t="s">
        <v>140</v>
      </c>
      <c r="C275" s="6" t="s">
        <v>155</v>
      </c>
      <c r="D275" s="6" t="s">
        <v>142</v>
      </c>
      <c r="E275" s="7">
        <v>8.8699999999999992</v>
      </c>
      <c r="F275" s="18">
        <v>0.99</v>
      </c>
      <c r="G275" s="18">
        <v>0.64879999999999993</v>
      </c>
      <c r="H275" s="13">
        <v>195</v>
      </c>
      <c r="I275" s="13">
        <v>195</v>
      </c>
      <c r="J275" s="7">
        <v>683192.03</v>
      </c>
      <c r="K275" s="7">
        <v>3503.55</v>
      </c>
      <c r="L275" s="13">
        <v>0</v>
      </c>
      <c r="M275" s="18">
        <v>0</v>
      </c>
      <c r="N275" s="13">
        <v>0</v>
      </c>
      <c r="O275" s="18">
        <v>0</v>
      </c>
      <c r="P275" s="13">
        <v>195</v>
      </c>
      <c r="Q275" s="18">
        <v>1</v>
      </c>
      <c r="R275" s="7"/>
      <c r="S275" s="7"/>
      <c r="T275" s="7">
        <v>0</v>
      </c>
      <c r="U275" s="7">
        <v>0</v>
      </c>
    </row>
    <row r="276" spans="1:21" x14ac:dyDescent="0.35">
      <c r="A276" s="9" t="s">
        <v>146</v>
      </c>
      <c r="B276" s="9" t="s">
        <v>145</v>
      </c>
      <c r="C276" s="9" t="s">
        <v>155</v>
      </c>
      <c r="D276" s="9" t="s">
        <v>156</v>
      </c>
      <c r="E276" s="10">
        <v>1.58</v>
      </c>
      <c r="F276" s="16">
        <v>4.8599999999999997E-2</v>
      </c>
      <c r="G276" s="16">
        <v>0.6512</v>
      </c>
      <c r="H276" s="12">
        <v>217</v>
      </c>
      <c r="I276" s="12">
        <v>217</v>
      </c>
      <c r="J276" s="10">
        <v>683111.4</v>
      </c>
      <c r="K276" s="10">
        <v>3147.98</v>
      </c>
      <c r="L276" s="12">
        <v>0</v>
      </c>
      <c r="M276" s="16">
        <v>0</v>
      </c>
      <c r="N276" s="12">
        <v>0</v>
      </c>
      <c r="O276" s="16">
        <v>0</v>
      </c>
      <c r="P276" s="12">
        <v>217</v>
      </c>
      <c r="Q276" s="16">
        <v>1</v>
      </c>
      <c r="R276" s="10"/>
      <c r="S276" s="10"/>
      <c r="T276" s="10">
        <v>0</v>
      </c>
      <c r="U276" s="10">
        <v>0</v>
      </c>
    </row>
    <row r="277" spans="1:21" x14ac:dyDescent="0.35">
      <c r="A277" s="6" t="s">
        <v>146</v>
      </c>
      <c r="B277" s="6" t="s">
        <v>144</v>
      </c>
      <c r="C277" s="6" t="s">
        <v>155</v>
      </c>
      <c r="D277" s="6" t="s">
        <v>142</v>
      </c>
      <c r="E277" s="7">
        <v>9.4</v>
      </c>
      <c r="F277" s="18">
        <v>0.99239999999999995</v>
      </c>
      <c r="G277" s="18">
        <v>0.63619999999999999</v>
      </c>
      <c r="H277" s="13">
        <v>205</v>
      </c>
      <c r="I277" s="13">
        <v>205</v>
      </c>
      <c r="J277" s="7">
        <v>679104.88</v>
      </c>
      <c r="K277" s="7">
        <v>3312.71</v>
      </c>
      <c r="L277" s="13">
        <v>0</v>
      </c>
      <c r="M277" s="18">
        <v>0</v>
      </c>
      <c r="N277" s="13">
        <v>0</v>
      </c>
      <c r="O277" s="18">
        <v>0</v>
      </c>
      <c r="P277" s="13">
        <v>205</v>
      </c>
      <c r="Q277" s="18">
        <v>1</v>
      </c>
      <c r="R277" s="7"/>
      <c r="S277" s="7"/>
      <c r="T277" s="7">
        <v>0</v>
      </c>
      <c r="U277" s="7">
        <v>0</v>
      </c>
    </row>
    <row r="278" spans="1:21" x14ac:dyDescent="0.35">
      <c r="A278" s="9" t="s">
        <v>146</v>
      </c>
      <c r="B278" s="9" t="s">
        <v>147</v>
      </c>
      <c r="C278" s="9" t="s">
        <v>155</v>
      </c>
      <c r="D278" s="9" t="s">
        <v>156</v>
      </c>
      <c r="E278" s="10">
        <v>1.55</v>
      </c>
      <c r="F278" s="16">
        <v>3.1699999999999999E-2</v>
      </c>
      <c r="G278" s="16">
        <v>0.66480000000000006</v>
      </c>
      <c r="H278" s="12">
        <v>202</v>
      </c>
      <c r="I278" s="12">
        <v>202</v>
      </c>
      <c r="J278" s="10">
        <v>675875.35</v>
      </c>
      <c r="K278" s="10">
        <v>3345.92</v>
      </c>
      <c r="L278" s="12">
        <v>0</v>
      </c>
      <c r="M278" s="16">
        <v>0</v>
      </c>
      <c r="N278" s="12">
        <v>0</v>
      </c>
      <c r="O278" s="16">
        <v>0</v>
      </c>
      <c r="P278" s="12">
        <v>202</v>
      </c>
      <c r="Q278" s="16">
        <v>1</v>
      </c>
      <c r="R278" s="10"/>
      <c r="S278" s="10"/>
      <c r="T278" s="10">
        <v>0</v>
      </c>
      <c r="U278" s="10">
        <v>0</v>
      </c>
    </row>
    <row r="279" spans="1:21" x14ac:dyDescent="0.35">
      <c r="A279" s="6" t="s">
        <v>149</v>
      </c>
      <c r="B279" s="6" t="s">
        <v>148</v>
      </c>
      <c r="C279" s="6" t="s">
        <v>155</v>
      </c>
      <c r="D279" s="6" t="s">
        <v>142</v>
      </c>
      <c r="E279" s="7">
        <v>8.93</v>
      </c>
      <c r="F279" s="18">
        <v>0.9909</v>
      </c>
      <c r="G279" s="18">
        <v>0.64430000000000009</v>
      </c>
      <c r="H279" s="13">
        <v>195</v>
      </c>
      <c r="I279" s="13">
        <v>195</v>
      </c>
      <c r="J279" s="7">
        <v>660821.57999999996</v>
      </c>
      <c r="K279" s="7">
        <v>3388.83</v>
      </c>
      <c r="L279" s="13">
        <v>0</v>
      </c>
      <c r="M279" s="18">
        <v>0</v>
      </c>
      <c r="N279" s="13">
        <v>0</v>
      </c>
      <c r="O279" s="18">
        <v>0</v>
      </c>
      <c r="P279" s="13">
        <v>195</v>
      </c>
      <c r="Q279" s="18">
        <v>1</v>
      </c>
      <c r="R279" s="7"/>
      <c r="S279" s="7"/>
      <c r="T279" s="7">
        <v>0</v>
      </c>
      <c r="U279" s="7">
        <v>0</v>
      </c>
    </row>
    <row r="280" spans="1:21" x14ac:dyDescent="0.35">
      <c r="A280" s="9" t="s">
        <v>150</v>
      </c>
      <c r="B280" s="9" t="s">
        <v>145</v>
      </c>
      <c r="C280" s="9" t="s">
        <v>155</v>
      </c>
      <c r="D280" s="9" t="s">
        <v>156</v>
      </c>
      <c r="E280" s="10">
        <v>1.66</v>
      </c>
      <c r="F280" s="16">
        <v>4.4999999999999998E-2</v>
      </c>
      <c r="G280" s="16">
        <v>0.64219999999999999</v>
      </c>
      <c r="H280" s="12">
        <v>220</v>
      </c>
      <c r="I280" s="12">
        <v>220</v>
      </c>
      <c r="J280" s="10">
        <v>657197.74</v>
      </c>
      <c r="K280" s="10">
        <v>2987.26</v>
      </c>
      <c r="L280" s="12">
        <v>0</v>
      </c>
      <c r="M280" s="16">
        <v>0</v>
      </c>
      <c r="N280" s="12">
        <v>0</v>
      </c>
      <c r="O280" s="16">
        <v>0</v>
      </c>
      <c r="P280" s="12">
        <v>220</v>
      </c>
      <c r="Q280" s="16">
        <v>1</v>
      </c>
      <c r="R280" s="10"/>
      <c r="S280" s="10"/>
      <c r="T280" s="10">
        <v>0</v>
      </c>
      <c r="U280" s="10">
        <v>0</v>
      </c>
    </row>
    <row r="281" spans="1:21" x14ac:dyDescent="0.35">
      <c r="A281" s="6" t="s">
        <v>146</v>
      </c>
      <c r="B281" s="6" t="s">
        <v>151</v>
      </c>
      <c r="C281" s="6" t="s">
        <v>155</v>
      </c>
      <c r="D281" s="6" t="s">
        <v>156</v>
      </c>
      <c r="E281" s="7">
        <v>1.6</v>
      </c>
      <c r="F281" s="18">
        <v>5.0700000000000002E-2</v>
      </c>
      <c r="G281" s="18">
        <v>0.63450000000000006</v>
      </c>
      <c r="H281" s="13">
        <v>221</v>
      </c>
      <c r="I281" s="13">
        <v>221</v>
      </c>
      <c r="J281" s="7">
        <v>642098.31000000006</v>
      </c>
      <c r="K281" s="7">
        <v>2905.42</v>
      </c>
      <c r="L281" s="13">
        <v>0</v>
      </c>
      <c r="M281" s="18">
        <v>0</v>
      </c>
      <c r="N281" s="13">
        <v>0</v>
      </c>
      <c r="O281" s="18">
        <v>0</v>
      </c>
      <c r="P281" s="13">
        <v>221</v>
      </c>
      <c r="Q281" s="18">
        <v>1</v>
      </c>
      <c r="R281" s="7"/>
      <c r="S281" s="7"/>
      <c r="T281" s="7">
        <v>0</v>
      </c>
      <c r="U281" s="7">
        <v>0</v>
      </c>
    </row>
    <row r="282" spans="1:21" x14ac:dyDescent="0.35">
      <c r="A282" s="9" t="s">
        <v>149</v>
      </c>
      <c r="B282" s="9" t="s">
        <v>144</v>
      </c>
      <c r="C282" s="9" t="s">
        <v>155</v>
      </c>
      <c r="D282" s="9" t="s">
        <v>156</v>
      </c>
      <c r="E282" s="10">
        <v>1.55</v>
      </c>
      <c r="F282" s="16">
        <v>3.7599999999999988E-2</v>
      </c>
      <c r="G282" s="16">
        <v>0.64579999999999993</v>
      </c>
      <c r="H282" s="12">
        <v>199</v>
      </c>
      <c r="I282" s="12">
        <v>199</v>
      </c>
      <c r="J282" s="10">
        <v>635400.09</v>
      </c>
      <c r="K282" s="10">
        <v>3192.97</v>
      </c>
      <c r="L282" s="12">
        <v>0</v>
      </c>
      <c r="M282" s="16">
        <v>0</v>
      </c>
      <c r="N282" s="12">
        <v>0</v>
      </c>
      <c r="O282" s="16">
        <v>0</v>
      </c>
      <c r="P282" s="12">
        <v>199</v>
      </c>
      <c r="Q282" s="16">
        <v>1</v>
      </c>
      <c r="R282" s="10"/>
      <c r="S282" s="10"/>
      <c r="T282" s="10">
        <v>0</v>
      </c>
      <c r="U282" s="10">
        <v>0</v>
      </c>
    </row>
    <row r="283" spans="1:21" x14ac:dyDescent="0.35">
      <c r="A283" s="6" t="s">
        <v>143</v>
      </c>
      <c r="B283" s="6" t="s">
        <v>145</v>
      </c>
      <c r="C283" s="6" t="s">
        <v>155</v>
      </c>
      <c r="D283" s="6" t="s">
        <v>142</v>
      </c>
      <c r="E283" s="7">
        <v>9.4</v>
      </c>
      <c r="F283" s="18">
        <v>0.99219999999999997</v>
      </c>
      <c r="G283" s="18">
        <v>0.63840000000000008</v>
      </c>
      <c r="H283" s="13">
        <v>192</v>
      </c>
      <c r="I283" s="13">
        <v>192</v>
      </c>
      <c r="J283" s="7">
        <v>633391.74</v>
      </c>
      <c r="K283" s="7">
        <v>3298.92</v>
      </c>
      <c r="L283" s="13">
        <v>0</v>
      </c>
      <c r="M283" s="18">
        <v>0</v>
      </c>
      <c r="N283" s="13">
        <v>0</v>
      </c>
      <c r="O283" s="18">
        <v>0</v>
      </c>
      <c r="P283" s="13">
        <v>192</v>
      </c>
      <c r="Q283" s="18">
        <v>1</v>
      </c>
      <c r="R283" s="7"/>
      <c r="S283" s="7"/>
      <c r="T283" s="7">
        <v>0</v>
      </c>
      <c r="U283" s="7">
        <v>0</v>
      </c>
    </row>
    <row r="284" spans="1:21" x14ac:dyDescent="0.35">
      <c r="A284" s="9" t="s">
        <v>146</v>
      </c>
      <c r="B284" s="9" t="s">
        <v>148</v>
      </c>
      <c r="C284" s="9" t="s">
        <v>155</v>
      </c>
      <c r="D284" s="9" t="s">
        <v>156</v>
      </c>
      <c r="E284" s="10">
        <v>1.57</v>
      </c>
      <c r="F284" s="16">
        <v>4.5400000000000003E-2</v>
      </c>
      <c r="G284" s="16">
        <v>0.65079999999999993</v>
      </c>
      <c r="H284" s="12">
        <v>195</v>
      </c>
      <c r="I284" s="12">
        <v>195</v>
      </c>
      <c r="J284" s="10">
        <v>623026.6</v>
      </c>
      <c r="K284" s="10">
        <v>3195.01</v>
      </c>
      <c r="L284" s="12">
        <v>0</v>
      </c>
      <c r="M284" s="16">
        <v>0</v>
      </c>
      <c r="N284" s="12">
        <v>0</v>
      </c>
      <c r="O284" s="16">
        <v>0</v>
      </c>
      <c r="P284" s="12">
        <v>195</v>
      </c>
      <c r="Q284" s="16">
        <v>1</v>
      </c>
      <c r="R284" s="10"/>
      <c r="S284" s="10"/>
      <c r="T284" s="10">
        <v>0</v>
      </c>
      <c r="U284" s="10">
        <v>0</v>
      </c>
    </row>
    <row r="285" spans="1:21" x14ac:dyDescent="0.35">
      <c r="A285" s="6" t="s">
        <v>139</v>
      </c>
      <c r="B285" s="6" t="s">
        <v>151</v>
      </c>
      <c r="C285" s="6" t="s">
        <v>155</v>
      </c>
      <c r="D285" s="6" t="s">
        <v>142</v>
      </c>
      <c r="E285" s="7">
        <v>9.4499999999999993</v>
      </c>
      <c r="F285" s="18">
        <v>0.9919</v>
      </c>
      <c r="G285" s="18">
        <v>0.64910000000000001</v>
      </c>
      <c r="H285" s="13">
        <v>199</v>
      </c>
      <c r="I285" s="13">
        <v>199</v>
      </c>
      <c r="J285" s="7">
        <v>621510.73</v>
      </c>
      <c r="K285" s="7">
        <v>3123.17</v>
      </c>
      <c r="L285" s="13">
        <v>0</v>
      </c>
      <c r="M285" s="18">
        <v>0</v>
      </c>
      <c r="N285" s="13">
        <v>0</v>
      </c>
      <c r="O285" s="18">
        <v>0</v>
      </c>
      <c r="P285" s="13">
        <v>199</v>
      </c>
      <c r="Q285" s="18">
        <v>1</v>
      </c>
      <c r="R285" s="7"/>
      <c r="S285" s="7"/>
      <c r="T285" s="7">
        <v>0</v>
      </c>
      <c r="U285" s="7">
        <v>0</v>
      </c>
    </row>
    <row r="286" spans="1:21" x14ac:dyDescent="0.35">
      <c r="A286" s="9" t="s">
        <v>149</v>
      </c>
      <c r="B286" s="9" t="s">
        <v>144</v>
      </c>
      <c r="C286" s="9" t="s">
        <v>155</v>
      </c>
      <c r="D286" s="9" t="s">
        <v>142</v>
      </c>
      <c r="E286" s="10">
        <v>8.92</v>
      </c>
      <c r="F286" s="16">
        <v>0.98659999999999992</v>
      </c>
      <c r="G286" s="16">
        <v>0.6543000000000001</v>
      </c>
      <c r="H286" s="12">
        <v>201</v>
      </c>
      <c r="I286" s="12">
        <v>201</v>
      </c>
      <c r="J286" s="10">
        <v>618832.29</v>
      </c>
      <c r="K286" s="10">
        <v>3078.77</v>
      </c>
      <c r="L286" s="12">
        <v>0</v>
      </c>
      <c r="M286" s="16">
        <v>0</v>
      </c>
      <c r="N286" s="12">
        <v>0</v>
      </c>
      <c r="O286" s="16">
        <v>0</v>
      </c>
      <c r="P286" s="12">
        <v>201</v>
      </c>
      <c r="Q286" s="16">
        <v>1</v>
      </c>
      <c r="R286" s="10"/>
      <c r="S286" s="10"/>
      <c r="T286" s="10">
        <v>0</v>
      </c>
      <c r="U286" s="10">
        <v>0</v>
      </c>
    </row>
    <row r="287" spans="1:21" x14ac:dyDescent="0.35">
      <c r="A287" s="6" t="s">
        <v>143</v>
      </c>
      <c r="B287" s="6" t="s">
        <v>144</v>
      </c>
      <c r="C287" s="6" t="s">
        <v>155</v>
      </c>
      <c r="D287" s="6" t="s">
        <v>156</v>
      </c>
      <c r="E287" s="7">
        <v>1.63</v>
      </c>
      <c r="F287" s="18">
        <v>4.8300000000000003E-2</v>
      </c>
      <c r="G287" s="18">
        <v>0.65390000000000004</v>
      </c>
      <c r="H287" s="13">
        <v>227</v>
      </c>
      <c r="I287" s="13">
        <v>227</v>
      </c>
      <c r="J287" s="7">
        <v>604395.27</v>
      </c>
      <c r="K287" s="7">
        <v>2662.53</v>
      </c>
      <c r="L287" s="13">
        <v>0</v>
      </c>
      <c r="M287" s="18">
        <v>0</v>
      </c>
      <c r="N287" s="13">
        <v>0</v>
      </c>
      <c r="O287" s="18">
        <v>0</v>
      </c>
      <c r="P287" s="13">
        <v>227</v>
      </c>
      <c r="Q287" s="18">
        <v>1</v>
      </c>
      <c r="R287" s="7"/>
      <c r="S287" s="7"/>
      <c r="T287" s="7">
        <v>0</v>
      </c>
      <c r="U287" s="7">
        <v>0</v>
      </c>
    </row>
    <row r="288" spans="1:21" x14ac:dyDescent="0.35">
      <c r="A288" s="9" t="s">
        <v>143</v>
      </c>
      <c r="B288" s="9" t="s">
        <v>147</v>
      </c>
      <c r="C288" s="9" t="s">
        <v>155</v>
      </c>
      <c r="D288" s="9" t="s">
        <v>156</v>
      </c>
      <c r="E288" s="10">
        <v>1.57</v>
      </c>
      <c r="F288" s="16">
        <v>4.4200000000000003E-2</v>
      </c>
      <c r="G288" s="16">
        <v>0.65300000000000002</v>
      </c>
      <c r="H288" s="12">
        <v>221</v>
      </c>
      <c r="I288" s="12">
        <v>221</v>
      </c>
      <c r="J288" s="10">
        <v>598076.73</v>
      </c>
      <c r="K288" s="10">
        <v>2706.23</v>
      </c>
      <c r="L288" s="12">
        <v>0</v>
      </c>
      <c r="M288" s="16">
        <v>0</v>
      </c>
      <c r="N288" s="12">
        <v>0</v>
      </c>
      <c r="O288" s="16">
        <v>0</v>
      </c>
      <c r="P288" s="12">
        <v>221</v>
      </c>
      <c r="Q288" s="16">
        <v>1</v>
      </c>
      <c r="R288" s="10"/>
      <c r="S288" s="10"/>
      <c r="T288" s="10">
        <v>0</v>
      </c>
      <c r="U288" s="10">
        <v>0</v>
      </c>
    </row>
    <row r="289" spans="1:21" x14ac:dyDescent="0.35">
      <c r="A289" s="6" t="s">
        <v>139</v>
      </c>
      <c r="B289" s="6" t="s">
        <v>147</v>
      </c>
      <c r="C289" s="6" t="s">
        <v>155</v>
      </c>
      <c r="D289" s="6" t="s">
        <v>156</v>
      </c>
      <c r="E289" s="7">
        <v>1.73</v>
      </c>
      <c r="F289" s="18">
        <v>4.9799999999999997E-2</v>
      </c>
      <c r="G289" s="18">
        <v>0.64969999999999994</v>
      </c>
      <c r="H289" s="13">
        <v>215</v>
      </c>
      <c r="I289" s="13">
        <v>215</v>
      </c>
      <c r="J289" s="7">
        <v>583831.84</v>
      </c>
      <c r="K289" s="7">
        <v>2715.5</v>
      </c>
      <c r="L289" s="13">
        <v>0</v>
      </c>
      <c r="M289" s="18">
        <v>0</v>
      </c>
      <c r="N289" s="13">
        <v>0</v>
      </c>
      <c r="O289" s="18">
        <v>0</v>
      </c>
      <c r="P289" s="13">
        <v>215</v>
      </c>
      <c r="Q289" s="18">
        <v>1</v>
      </c>
      <c r="R289" s="7"/>
      <c r="S289" s="7"/>
      <c r="T289" s="7">
        <v>0</v>
      </c>
      <c r="U289" s="7">
        <v>0</v>
      </c>
    </row>
    <row r="290" spans="1:21" x14ac:dyDescent="0.35">
      <c r="A290" s="9" t="s">
        <v>139</v>
      </c>
      <c r="B290" s="9" t="s">
        <v>148</v>
      </c>
      <c r="C290" s="9" t="s">
        <v>155</v>
      </c>
      <c r="D290" s="9" t="s">
        <v>156</v>
      </c>
      <c r="E290" s="10">
        <v>1.62</v>
      </c>
      <c r="F290" s="16">
        <v>4.4299999999999999E-2</v>
      </c>
      <c r="G290" s="16">
        <v>0.64900000000000002</v>
      </c>
      <c r="H290" s="12">
        <v>223</v>
      </c>
      <c r="I290" s="12">
        <v>223</v>
      </c>
      <c r="J290" s="10">
        <v>583051.44999999995</v>
      </c>
      <c r="K290" s="10">
        <v>2614.58</v>
      </c>
      <c r="L290" s="12">
        <v>0</v>
      </c>
      <c r="M290" s="16">
        <v>0</v>
      </c>
      <c r="N290" s="12">
        <v>0</v>
      </c>
      <c r="O290" s="16">
        <v>0</v>
      </c>
      <c r="P290" s="12">
        <v>223</v>
      </c>
      <c r="Q290" s="16">
        <v>1</v>
      </c>
      <c r="R290" s="10"/>
      <c r="S290" s="10"/>
      <c r="T290" s="10">
        <v>0</v>
      </c>
      <c r="U290" s="10">
        <v>0</v>
      </c>
    </row>
    <row r="291" spans="1:21" x14ac:dyDescent="0.35">
      <c r="A291" s="6" t="s">
        <v>139</v>
      </c>
      <c r="B291" s="6" t="s">
        <v>151</v>
      </c>
      <c r="C291" s="6" t="s">
        <v>155</v>
      </c>
      <c r="D291" s="6" t="s">
        <v>156</v>
      </c>
      <c r="E291" s="7">
        <v>1.68</v>
      </c>
      <c r="F291" s="18">
        <v>5.04E-2</v>
      </c>
      <c r="G291" s="18">
        <v>0.6492</v>
      </c>
      <c r="H291" s="13">
        <v>225</v>
      </c>
      <c r="I291" s="13">
        <v>225</v>
      </c>
      <c r="J291" s="7">
        <v>582866.25</v>
      </c>
      <c r="K291" s="7">
        <v>2590.52</v>
      </c>
      <c r="L291" s="13">
        <v>0</v>
      </c>
      <c r="M291" s="18">
        <v>0</v>
      </c>
      <c r="N291" s="13">
        <v>0</v>
      </c>
      <c r="O291" s="18">
        <v>0</v>
      </c>
      <c r="P291" s="13">
        <v>225</v>
      </c>
      <c r="Q291" s="18">
        <v>1</v>
      </c>
      <c r="R291" s="7"/>
      <c r="S291" s="7"/>
      <c r="T291" s="7">
        <v>0</v>
      </c>
      <c r="U291" s="7">
        <v>0</v>
      </c>
    </row>
    <row r="292" spans="1:21" x14ac:dyDescent="0.35">
      <c r="A292" s="9" t="s">
        <v>149</v>
      </c>
      <c r="B292" s="9" t="s">
        <v>145</v>
      </c>
      <c r="C292" s="9" t="s">
        <v>155</v>
      </c>
      <c r="D292" s="9" t="s">
        <v>156</v>
      </c>
      <c r="E292" s="10">
        <v>1.57</v>
      </c>
      <c r="F292" s="16">
        <v>3.7499999999999999E-2</v>
      </c>
      <c r="G292" s="16">
        <v>0.65529999999999999</v>
      </c>
      <c r="H292" s="12">
        <v>212</v>
      </c>
      <c r="I292" s="12">
        <v>212</v>
      </c>
      <c r="J292" s="10">
        <v>582369.85</v>
      </c>
      <c r="K292" s="10">
        <v>2747.03</v>
      </c>
      <c r="L292" s="12">
        <v>0</v>
      </c>
      <c r="M292" s="16">
        <v>0</v>
      </c>
      <c r="N292" s="12">
        <v>0</v>
      </c>
      <c r="O292" s="16">
        <v>0</v>
      </c>
      <c r="P292" s="12">
        <v>212</v>
      </c>
      <c r="Q292" s="16">
        <v>1</v>
      </c>
      <c r="R292" s="10"/>
      <c r="S292" s="10"/>
      <c r="T292" s="10">
        <v>0</v>
      </c>
      <c r="U292" s="10">
        <v>0</v>
      </c>
    </row>
    <row r="293" spans="1:21" x14ac:dyDescent="0.35">
      <c r="A293" s="6" t="s">
        <v>143</v>
      </c>
      <c r="B293" s="6" t="s">
        <v>151</v>
      </c>
      <c r="C293" s="6" t="s">
        <v>155</v>
      </c>
      <c r="D293" s="6" t="s">
        <v>156</v>
      </c>
      <c r="E293" s="7">
        <v>1.6</v>
      </c>
      <c r="F293" s="18">
        <v>5.1100000000000013E-2</v>
      </c>
      <c r="G293" s="18">
        <v>0.64290000000000003</v>
      </c>
      <c r="H293" s="13">
        <v>207</v>
      </c>
      <c r="I293" s="13">
        <v>207</v>
      </c>
      <c r="J293" s="7">
        <v>561595.51</v>
      </c>
      <c r="K293" s="7">
        <v>2713.02</v>
      </c>
      <c r="L293" s="13">
        <v>0</v>
      </c>
      <c r="M293" s="18">
        <v>0</v>
      </c>
      <c r="N293" s="13">
        <v>0</v>
      </c>
      <c r="O293" s="18">
        <v>0</v>
      </c>
      <c r="P293" s="13">
        <v>207</v>
      </c>
      <c r="Q293" s="18">
        <v>1</v>
      </c>
      <c r="R293" s="7"/>
      <c r="S293" s="7"/>
      <c r="T293" s="7">
        <v>0</v>
      </c>
      <c r="U293" s="7">
        <v>0</v>
      </c>
    </row>
    <row r="294" spans="1:21" x14ac:dyDescent="0.35">
      <c r="A294" s="9" t="s">
        <v>139</v>
      </c>
      <c r="B294" s="9" t="s">
        <v>144</v>
      </c>
      <c r="C294" s="9" t="s">
        <v>155</v>
      </c>
      <c r="D294" s="9" t="s">
        <v>156</v>
      </c>
      <c r="E294" s="10">
        <v>1.49</v>
      </c>
      <c r="F294" s="16">
        <v>3.7999999999999999E-2</v>
      </c>
      <c r="G294" s="16">
        <v>0.64269999999999994</v>
      </c>
      <c r="H294" s="12">
        <v>220</v>
      </c>
      <c r="I294" s="12">
        <v>220</v>
      </c>
      <c r="J294" s="10">
        <v>556882.89</v>
      </c>
      <c r="K294" s="10">
        <v>2531.29</v>
      </c>
      <c r="L294" s="12">
        <v>0</v>
      </c>
      <c r="M294" s="16">
        <v>0</v>
      </c>
      <c r="N294" s="12">
        <v>0</v>
      </c>
      <c r="O294" s="16">
        <v>0</v>
      </c>
      <c r="P294" s="12">
        <v>220</v>
      </c>
      <c r="Q294" s="16">
        <v>1</v>
      </c>
      <c r="R294" s="10"/>
      <c r="S294" s="10"/>
      <c r="T294" s="10">
        <v>0</v>
      </c>
      <c r="U294" s="10">
        <v>0</v>
      </c>
    </row>
    <row r="295" spans="1:21" x14ac:dyDescent="0.35">
      <c r="A295" s="6" t="s">
        <v>139</v>
      </c>
      <c r="B295" s="6" t="s">
        <v>140</v>
      </c>
      <c r="C295" s="6" t="s">
        <v>155</v>
      </c>
      <c r="D295" s="6" t="s">
        <v>142</v>
      </c>
      <c r="E295" s="7">
        <v>9.39</v>
      </c>
      <c r="F295" s="18">
        <v>0.98269999999999991</v>
      </c>
      <c r="G295" s="18">
        <v>0.64340000000000008</v>
      </c>
      <c r="H295" s="13">
        <v>204</v>
      </c>
      <c r="I295" s="13">
        <v>204</v>
      </c>
      <c r="J295" s="7">
        <v>554518.25</v>
      </c>
      <c r="K295" s="7">
        <v>2718.23</v>
      </c>
      <c r="L295" s="13">
        <v>0</v>
      </c>
      <c r="M295" s="18">
        <v>0</v>
      </c>
      <c r="N295" s="13">
        <v>0</v>
      </c>
      <c r="O295" s="18">
        <v>0</v>
      </c>
      <c r="P295" s="13">
        <v>204</v>
      </c>
      <c r="Q295" s="18">
        <v>1</v>
      </c>
      <c r="R295" s="7"/>
      <c r="S295" s="7"/>
      <c r="T295" s="7">
        <v>0</v>
      </c>
      <c r="U295" s="7">
        <v>0</v>
      </c>
    </row>
    <row r="296" spans="1:21" x14ac:dyDescent="0.35">
      <c r="A296" s="9" t="s">
        <v>150</v>
      </c>
      <c r="B296" s="9" t="s">
        <v>140</v>
      </c>
      <c r="C296" s="9" t="s">
        <v>155</v>
      </c>
      <c r="D296" s="9" t="s">
        <v>142</v>
      </c>
      <c r="E296" s="10">
        <v>9.07</v>
      </c>
      <c r="F296" s="16">
        <v>0.99209999999999998</v>
      </c>
      <c r="G296" s="16">
        <v>0.6573</v>
      </c>
      <c r="H296" s="12">
        <v>216</v>
      </c>
      <c r="I296" s="12">
        <v>216</v>
      </c>
      <c r="J296" s="10">
        <v>548357.68000000005</v>
      </c>
      <c r="K296" s="10">
        <v>2538.69</v>
      </c>
      <c r="L296" s="12">
        <v>0</v>
      </c>
      <c r="M296" s="16">
        <v>0</v>
      </c>
      <c r="N296" s="12">
        <v>0</v>
      </c>
      <c r="O296" s="16">
        <v>0</v>
      </c>
      <c r="P296" s="12">
        <v>216</v>
      </c>
      <c r="Q296" s="16">
        <v>1</v>
      </c>
      <c r="R296" s="10"/>
      <c r="S296" s="10"/>
      <c r="T296" s="10">
        <v>0</v>
      </c>
      <c r="U296" s="10">
        <v>0</v>
      </c>
    </row>
    <row r="297" spans="1:21" x14ac:dyDescent="0.35">
      <c r="A297" s="6" t="s">
        <v>149</v>
      </c>
      <c r="B297" s="6" t="s">
        <v>145</v>
      </c>
      <c r="C297" s="6" t="s">
        <v>155</v>
      </c>
      <c r="D297" s="6" t="s">
        <v>142</v>
      </c>
      <c r="E297" s="7">
        <v>9.3699999999999992</v>
      </c>
      <c r="F297" s="18">
        <v>0.99140000000000006</v>
      </c>
      <c r="G297" s="18">
        <v>0.65480000000000005</v>
      </c>
      <c r="H297" s="13">
        <v>212</v>
      </c>
      <c r="I297" s="13">
        <v>212</v>
      </c>
      <c r="J297" s="7">
        <v>542159.35</v>
      </c>
      <c r="K297" s="7">
        <v>2557.36</v>
      </c>
      <c r="L297" s="13">
        <v>0</v>
      </c>
      <c r="M297" s="18">
        <v>0</v>
      </c>
      <c r="N297" s="13">
        <v>0</v>
      </c>
      <c r="O297" s="18">
        <v>0</v>
      </c>
      <c r="P297" s="13">
        <v>212</v>
      </c>
      <c r="Q297" s="18">
        <v>1</v>
      </c>
      <c r="R297" s="7"/>
      <c r="S297" s="7"/>
      <c r="T297" s="7">
        <v>0</v>
      </c>
      <c r="U297" s="7">
        <v>0</v>
      </c>
    </row>
    <row r="298" spans="1:21" x14ac:dyDescent="0.35">
      <c r="A298" s="9" t="s">
        <v>146</v>
      </c>
      <c r="B298" s="9" t="s">
        <v>140</v>
      </c>
      <c r="C298" s="9" t="s">
        <v>155</v>
      </c>
      <c r="D298" s="9" t="s">
        <v>156</v>
      </c>
      <c r="E298" s="10">
        <v>1.69</v>
      </c>
      <c r="F298" s="16">
        <v>4.3299999999999998E-2</v>
      </c>
      <c r="G298" s="16">
        <v>0.65239999999999998</v>
      </c>
      <c r="H298" s="12">
        <v>212</v>
      </c>
      <c r="I298" s="12">
        <v>212</v>
      </c>
      <c r="J298" s="10">
        <v>539649.01</v>
      </c>
      <c r="K298" s="10">
        <v>2545.5100000000002</v>
      </c>
      <c r="L298" s="12">
        <v>0</v>
      </c>
      <c r="M298" s="16">
        <v>0</v>
      </c>
      <c r="N298" s="12">
        <v>0</v>
      </c>
      <c r="O298" s="16">
        <v>0</v>
      </c>
      <c r="P298" s="12">
        <v>212</v>
      </c>
      <c r="Q298" s="16">
        <v>1</v>
      </c>
      <c r="R298" s="10"/>
      <c r="S298" s="10"/>
      <c r="T298" s="10">
        <v>0</v>
      </c>
      <c r="U298" s="10">
        <v>0</v>
      </c>
    </row>
    <row r="299" spans="1:21" x14ac:dyDescent="0.35">
      <c r="A299" s="6" t="s">
        <v>150</v>
      </c>
      <c r="B299" s="6" t="s">
        <v>145</v>
      </c>
      <c r="C299" s="6" t="s">
        <v>155</v>
      </c>
      <c r="D299" s="6" t="s">
        <v>142</v>
      </c>
      <c r="E299" s="7">
        <v>9.2100000000000009</v>
      </c>
      <c r="F299" s="18">
        <v>0.99219999999999997</v>
      </c>
      <c r="G299" s="18">
        <v>0.65139999999999998</v>
      </c>
      <c r="H299" s="13">
        <v>213</v>
      </c>
      <c r="I299" s="13">
        <v>213</v>
      </c>
      <c r="J299" s="7">
        <v>537888.64</v>
      </c>
      <c r="K299" s="7">
        <v>2525.3000000000002</v>
      </c>
      <c r="L299" s="13">
        <v>0</v>
      </c>
      <c r="M299" s="18">
        <v>0</v>
      </c>
      <c r="N299" s="13">
        <v>0</v>
      </c>
      <c r="O299" s="18">
        <v>0</v>
      </c>
      <c r="P299" s="13">
        <v>213</v>
      </c>
      <c r="Q299" s="18">
        <v>1</v>
      </c>
      <c r="R299" s="7"/>
      <c r="S299" s="7"/>
      <c r="T299" s="7">
        <v>0</v>
      </c>
      <c r="U299" s="7">
        <v>0</v>
      </c>
    </row>
    <row r="300" spans="1:21" x14ac:dyDescent="0.35">
      <c r="A300" s="9" t="s">
        <v>150</v>
      </c>
      <c r="B300" s="9" t="s">
        <v>148</v>
      </c>
      <c r="C300" s="9" t="s">
        <v>155</v>
      </c>
      <c r="D300" s="9" t="s">
        <v>142</v>
      </c>
      <c r="E300" s="10">
        <v>9.0299999999999994</v>
      </c>
      <c r="F300" s="16">
        <v>0.99109999999999998</v>
      </c>
      <c r="G300" s="16">
        <v>0.6472</v>
      </c>
      <c r="H300" s="12">
        <v>196</v>
      </c>
      <c r="I300" s="12">
        <v>196</v>
      </c>
      <c r="J300" s="10">
        <v>537150.37</v>
      </c>
      <c r="K300" s="10">
        <v>2740.56</v>
      </c>
      <c r="L300" s="12">
        <v>0</v>
      </c>
      <c r="M300" s="16">
        <v>0</v>
      </c>
      <c r="N300" s="12">
        <v>0</v>
      </c>
      <c r="O300" s="16">
        <v>0</v>
      </c>
      <c r="P300" s="12">
        <v>196</v>
      </c>
      <c r="Q300" s="16">
        <v>1</v>
      </c>
      <c r="R300" s="10"/>
      <c r="S300" s="10"/>
      <c r="T300" s="10">
        <v>0</v>
      </c>
      <c r="U300" s="10">
        <v>0</v>
      </c>
    </row>
    <row r="301" spans="1:21" x14ac:dyDescent="0.35">
      <c r="A301" s="6" t="s">
        <v>143</v>
      </c>
      <c r="B301" s="6" t="s">
        <v>145</v>
      </c>
      <c r="C301" s="6" t="s">
        <v>155</v>
      </c>
      <c r="D301" s="6" t="s">
        <v>156</v>
      </c>
      <c r="E301" s="7">
        <v>1.63</v>
      </c>
      <c r="F301" s="18">
        <v>4.6399999999999997E-2</v>
      </c>
      <c r="G301" s="18">
        <v>0.65079999999999993</v>
      </c>
      <c r="H301" s="13">
        <v>198</v>
      </c>
      <c r="I301" s="13">
        <v>198</v>
      </c>
      <c r="J301" s="7">
        <v>530904.68999999994</v>
      </c>
      <c r="K301" s="7">
        <v>2681.34</v>
      </c>
      <c r="L301" s="13">
        <v>0</v>
      </c>
      <c r="M301" s="18">
        <v>0</v>
      </c>
      <c r="N301" s="13">
        <v>0</v>
      </c>
      <c r="O301" s="18">
        <v>0</v>
      </c>
      <c r="P301" s="13">
        <v>198</v>
      </c>
      <c r="Q301" s="18">
        <v>1</v>
      </c>
      <c r="R301" s="7"/>
      <c r="S301" s="7"/>
      <c r="T301" s="7">
        <v>0</v>
      </c>
      <c r="U301" s="7">
        <v>0</v>
      </c>
    </row>
    <row r="302" spans="1:21" x14ac:dyDescent="0.35">
      <c r="A302" s="9" t="s">
        <v>139</v>
      </c>
      <c r="B302" s="9" t="s">
        <v>144</v>
      </c>
      <c r="C302" s="9" t="s">
        <v>155</v>
      </c>
      <c r="D302" s="9" t="s">
        <v>142</v>
      </c>
      <c r="E302" s="10">
        <v>9.3000000000000007</v>
      </c>
      <c r="F302" s="16">
        <v>0.98519999999999996</v>
      </c>
      <c r="G302" s="16">
        <v>0.66390000000000005</v>
      </c>
      <c r="H302" s="12">
        <v>204</v>
      </c>
      <c r="I302" s="12">
        <v>204</v>
      </c>
      <c r="J302" s="10">
        <v>530569.15</v>
      </c>
      <c r="K302" s="10">
        <v>2600.83</v>
      </c>
      <c r="L302" s="12">
        <v>0</v>
      </c>
      <c r="M302" s="16">
        <v>0</v>
      </c>
      <c r="N302" s="12">
        <v>0</v>
      </c>
      <c r="O302" s="16">
        <v>0</v>
      </c>
      <c r="P302" s="12">
        <v>204</v>
      </c>
      <c r="Q302" s="16">
        <v>1</v>
      </c>
      <c r="R302" s="10"/>
      <c r="S302" s="10"/>
      <c r="T302" s="10">
        <v>0</v>
      </c>
      <c r="U302" s="10">
        <v>0</v>
      </c>
    </row>
    <row r="303" spans="1:21" x14ac:dyDescent="0.35">
      <c r="A303" s="6" t="s">
        <v>139</v>
      </c>
      <c r="B303" s="6" t="s">
        <v>148</v>
      </c>
      <c r="C303" s="6" t="s">
        <v>155</v>
      </c>
      <c r="D303" s="6" t="s">
        <v>142</v>
      </c>
      <c r="E303" s="7">
        <v>9.0299999999999994</v>
      </c>
      <c r="F303" s="18">
        <v>0.9909</v>
      </c>
      <c r="G303" s="18">
        <v>0.64190000000000003</v>
      </c>
      <c r="H303" s="13">
        <v>195</v>
      </c>
      <c r="I303" s="13">
        <v>195</v>
      </c>
      <c r="J303" s="7">
        <v>527117.96</v>
      </c>
      <c r="K303" s="7">
        <v>2703.17</v>
      </c>
      <c r="L303" s="13">
        <v>0</v>
      </c>
      <c r="M303" s="18">
        <v>0</v>
      </c>
      <c r="N303" s="13">
        <v>0</v>
      </c>
      <c r="O303" s="18">
        <v>0</v>
      </c>
      <c r="P303" s="13">
        <v>195</v>
      </c>
      <c r="Q303" s="18">
        <v>1</v>
      </c>
      <c r="R303" s="7"/>
      <c r="S303" s="7"/>
      <c r="T303" s="7">
        <v>0</v>
      </c>
      <c r="U303" s="7">
        <v>0</v>
      </c>
    </row>
    <row r="304" spans="1:21" x14ac:dyDescent="0.35">
      <c r="A304" s="9" t="s">
        <v>143</v>
      </c>
      <c r="B304" s="9" t="s">
        <v>151</v>
      </c>
      <c r="C304" s="9" t="s">
        <v>155</v>
      </c>
      <c r="D304" s="9" t="s">
        <v>142</v>
      </c>
      <c r="E304" s="10">
        <v>9.2100000000000009</v>
      </c>
      <c r="F304" s="16">
        <v>0.99349999999999994</v>
      </c>
      <c r="G304" s="16">
        <v>0.64670000000000005</v>
      </c>
      <c r="H304" s="12">
        <v>203</v>
      </c>
      <c r="I304" s="12">
        <v>203</v>
      </c>
      <c r="J304" s="10">
        <v>522398.52</v>
      </c>
      <c r="K304" s="10">
        <v>2573.39</v>
      </c>
      <c r="L304" s="12">
        <v>0</v>
      </c>
      <c r="M304" s="16">
        <v>0</v>
      </c>
      <c r="N304" s="12">
        <v>0</v>
      </c>
      <c r="O304" s="16">
        <v>0</v>
      </c>
      <c r="P304" s="12">
        <v>203</v>
      </c>
      <c r="Q304" s="16">
        <v>1</v>
      </c>
      <c r="R304" s="10"/>
      <c r="S304" s="10"/>
      <c r="T304" s="10">
        <v>0</v>
      </c>
      <c r="U304" s="10">
        <v>0</v>
      </c>
    </row>
    <row r="305" spans="1:21" x14ac:dyDescent="0.35">
      <c r="A305" s="6" t="s">
        <v>150</v>
      </c>
      <c r="B305" s="6" t="s">
        <v>147</v>
      </c>
      <c r="C305" s="6" t="s">
        <v>155</v>
      </c>
      <c r="D305" s="6" t="s">
        <v>142</v>
      </c>
      <c r="E305" s="7">
        <v>9.01</v>
      </c>
      <c r="F305" s="18">
        <v>0.98769999999999991</v>
      </c>
      <c r="G305" s="18">
        <v>0.65620000000000001</v>
      </c>
      <c r="H305" s="13">
        <v>202</v>
      </c>
      <c r="I305" s="13">
        <v>202</v>
      </c>
      <c r="J305" s="7">
        <v>488865.11</v>
      </c>
      <c r="K305" s="7">
        <v>2420.12</v>
      </c>
      <c r="L305" s="13">
        <v>0</v>
      </c>
      <c r="M305" s="18">
        <v>0</v>
      </c>
      <c r="N305" s="13">
        <v>0</v>
      </c>
      <c r="O305" s="18">
        <v>0</v>
      </c>
      <c r="P305" s="13">
        <v>202</v>
      </c>
      <c r="Q305" s="18">
        <v>1</v>
      </c>
      <c r="R305" s="7"/>
      <c r="S305" s="7"/>
      <c r="T305" s="7">
        <v>0</v>
      </c>
      <c r="U305" s="7">
        <v>0</v>
      </c>
    </row>
    <row r="306" spans="1:21" x14ac:dyDescent="0.35">
      <c r="A306" s="9" t="s">
        <v>150</v>
      </c>
      <c r="B306" s="9" t="s">
        <v>147</v>
      </c>
      <c r="C306" s="9" t="s">
        <v>152</v>
      </c>
      <c r="D306" s="9" t="s">
        <v>153</v>
      </c>
      <c r="E306" s="10">
        <v>6.27</v>
      </c>
      <c r="F306" s="16">
        <v>0.67620000000000002</v>
      </c>
      <c r="G306" s="16">
        <v>0.64760000000000006</v>
      </c>
      <c r="H306" s="12">
        <v>36</v>
      </c>
      <c r="I306" s="12">
        <v>36</v>
      </c>
      <c r="J306" s="10">
        <v>340537.88</v>
      </c>
      <c r="K306" s="10">
        <v>9459.39</v>
      </c>
      <c r="L306" s="12">
        <v>36</v>
      </c>
      <c r="M306" s="16">
        <v>1</v>
      </c>
      <c r="N306" s="12">
        <v>36</v>
      </c>
      <c r="O306" s="16">
        <v>1</v>
      </c>
      <c r="P306" s="12">
        <v>0</v>
      </c>
      <c r="Q306" s="16">
        <v>0</v>
      </c>
      <c r="R306" s="10">
        <v>9459.39</v>
      </c>
      <c r="S306" s="10">
        <v>9459.3855555555565</v>
      </c>
      <c r="T306" s="10">
        <v>105.7151116345706</v>
      </c>
      <c r="U306" s="10">
        <v>105.7151116345706</v>
      </c>
    </row>
    <row r="307" spans="1:21" x14ac:dyDescent="0.35">
      <c r="A307" s="6" t="s">
        <v>150</v>
      </c>
      <c r="B307" s="6" t="s">
        <v>140</v>
      </c>
      <c r="C307" s="6" t="s">
        <v>152</v>
      </c>
      <c r="D307" s="6" t="s">
        <v>153</v>
      </c>
      <c r="E307" s="7">
        <v>6.3</v>
      </c>
      <c r="F307" s="18">
        <v>0.6826000000000001</v>
      </c>
      <c r="G307" s="18">
        <v>0.67310000000000003</v>
      </c>
      <c r="H307" s="13">
        <v>37</v>
      </c>
      <c r="I307" s="13">
        <v>37</v>
      </c>
      <c r="J307" s="7">
        <v>298851.68</v>
      </c>
      <c r="K307" s="7">
        <v>8077.07</v>
      </c>
      <c r="L307" s="13">
        <v>37</v>
      </c>
      <c r="M307" s="18">
        <v>1</v>
      </c>
      <c r="N307" s="13">
        <v>37</v>
      </c>
      <c r="O307" s="18">
        <v>1</v>
      </c>
      <c r="P307" s="13">
        <v>0</v>
      </c>
      <c r="Q307" s="18">
        <v>0</v>
      </c>
      <c r="R307" s="7">
        <v>8077.07</v>
      </c>
      <c r="S307" s="7">
        <v>8077.0724324324319</v>
      </c>
      <c r="T307" s="7">
        <v>123.8072344113977</v>
      </c>
      <c r="U307" s="7">
        <v>123.8072344113977</v>
      </c>
    </row>
    <row r="308" spans="1:21" x14ac:dyDescent="0.35">
      <c r="A308" s="9" t="s">
        <v>143</v>
      </c>
      <c r="B308" s="9" t="s">
        <v>147</v>
      </c>
      <c r="C308" s="9" t="s">
        <v>152</v>
      </c>
      <c r="D308" s="9" t="s">
        <v>153</v>
      </c>
      <c r="E308" s="10">
        <v>6.26</v>
      </c>
      <c r="F308" s="16">
        <v>0.6845</v>
      </c>
      <c r="G308" s="16">
        <v>0.65849999999999997</v>
      </c>
      <c r="H308" s="12">
        <v>39</v>
      </c>
      <c r="I308" s="12">
        <v>39</v>
      </c>
      <c r="J308" s="10">
        <v>235840.07</v>
      </c>
      <c r="K308" s="10">
        <v>6047.18</v>
      </c>
      <c r="L308" s="12">
        <v>39</v>
      </c>
      <c r="M308" s="16">
        <v>1</v>
      </c>
      <c r="N308" s="12">
        <v>39</v>
      </c>
      <c r="O308" s="16">
        <v>1</v>
      </c>
      <c r="P308" s="12">
        <v>0</v>
      </c>
      <c r="Q308" s="16">
        <v>0</v>
      </c>
      <c r="R308" s="10">
        <v>6047.18</v>
      </c>
      <c r="S308" s="10">
        <v>6047.1812820512823</v>
      </c>
      <c r="T308" s="10">
        <v>165.36630098523969</v>
      </c>
      <c r="U308" s="10">
        <v>165.36630098523969</v>
      </c>
    </row>
    <row r="309" spans="1:21" x14ac:dyDescent="0.35">
      <c r="A309" s="6" t="s">
        <v>139</v>
      </c>
      <c r="B309" s="6" t="s">
        <v>148</v>
      </c>
      <c r="C309" s="6" t="s">
        <v>152</v>
      </c>
      <c r="D309" s="6" t="s">
        <v>153</v>
      </c>
      <c r="E309" s="7">
        <v>6.27</v>
      </c>
      <c r="F309" s="18">
        <v>0.68610000000000004</v>
      </c>
      <c r="G309" s="18">
        <v>0.62309999999999999</v>
      </c>
      <c r="H309" s="13">
        <v>34</v>
      </c>
      <c r="I309" s="13">
        <v>34</v>
      </c>
      <c r="J309" s="7">
        <v>234122.61</v>
      </c>
      <c r="K309" s="7">
        <v>6885.96</v>
      </c>
      <c r="L309" s="13">
        <v>34</v>
      </c>
      <c r="M309" s="18">
        <v>1</v>
      </c>
      <c r="N309" s="13">
        <v>34</v>
      </c>
      <c r="O309" s="18">
        <v>1</v>
      </c>
      <c r="P309" s="13">
        <v>0</v>
      </c>
      <c r="Q309" s="18">
        <v>0</v>
      </c>
      <c r="R309" s="7">
        <v>6885.96</v>
      </c>
      <c r="S309" s="7">
        <v>6885.9591176470594</v>
      </c>
      <c r="T309" s="7">
        <v>145.22305214349009</v>
      </c>
      <c r="U309" s="7">
        <v>145.22305214349009</v>
      </c>
    </row>
    <row r="310" spans="1:21" x14ac:dyDescent="0.35">
      <c r="A310" s="9" t="s">
        <v>139</v>
      </c>
      <c r="B310" s="9" t="s">
        <v>140</v>
      </c>
      <c r="C310" s="9" t="s">
        <v>152</v>
      </c>
      <c r="D310" s="9" t="s">
        <v>153</v>
      </c>
      <c r="E310" s="10">
        <v>6.28</v>
      </c>
      <c r="F310" s="16">
        <v>0.64190000000000003</v>
      </c>
      <c r="G310" s="16">
        <v>0.625</v>
      </c>
      <c r="H310" s="12">
        <v>42</v>
      </c>
      <c r="I310" s="12">
        <v>42</v>
      </c>
      <c r="J310" s="10">
        <v>223091.36</v>
      </c>
      <c r="K310" s="10">
        <v>5311.7</v>
      </c>
      <c r="L310" s="12">
        <v>42</v>
      </c>
      <c r="M310" s="16">
        <v>1</v>
      </c>
      <c r="N310" s="12">
        <v>42</v>
      </c>
      <c r="O310" s="16">
        <v>1</v>
      </c>
      <c r="P310" s="12">
        <v>0</v>
      </c>
      <c r="Q310" s="16">
        <v>0</v>
      </c>
      <c r="R310" s="10">
        <v>5311.7</v>
      </c>
      <c r="S310" s="10">
        <v>5311.6990476190476</v>
      </c>
      <c r="T310" s="10">
        <v>188.26367816306291</v>
      </c>
      <c r="U310" s="10">
        <v>188.26367816306291</v>
      </c>
    </row>
    <row r="311" spans="1:21" x14ac:dyDescent="0.35">
      <c r="A311" s="6" t="s">
        <v>139</v>
      </c>
      <c r="B311" s="6" t="s">
        <v>144</v>
      </c>
      <c r="C311" s="6" t="s">
        <v>152</v>
      </c>
      <c r="D311" s="6" t="s">
        <v>153</v>
      </c>
      <c r="E311" s="7">
        <v>6.25</v>
      </c>
      <c r="F311" s="18">
        <v>0.66659999999999997</v>
      </c>
      <c r="G311" s="18">
        <v>0.64599999999999991</v>
      </c>
      <c r="H311" s="13">
        <v>44</v>
      </c>
      <c r="I311" s="13">
        <v>44</v>
      </c>
      <c r="J311" s="7">
        <v>221714.49</v>
      </c>
      <c r="K311" s="7">
        <v>5038.97</v>
      </c>
      <c r="L311" s="13">
        <v>44</v>
      </c>
      <c r="M311" s="18">
        <v>1</v>
      </c>
      <c r="N311" s="13">
        <v>44</v>
      </c>
      <c r="O311" s="18">
        <v>1</v>
      </c>
      <c r="P311" s="13">
        <v>0</v>
      </c>
      <c r="Q311" s="18">
        <v>0</v>
      </c>
      <c r="R311" s="7">
        <v>5038.97</v>
      </c>
      <c r="S311" s="7">
        <v>5038.965681818182</v>
      </c>
      <c r="T311" s="7">
        <v>198.45342539407329</v>
      </c>
      <c r="U311" s="7">
        <v>198.45342539407329</v>
      </c>
    </row>
    <row r="312" spans="1:21" x14ac:dyDescent="0.35">
      <c r="A312" s="9" t="s">
        <v>149</v>
      </c>
      <c r="B312" s="9" t="s">
        <v>140</v>
      </c>
      <c r="C312" s="9" t="s">
        <v>152</v>
      </c>
      <c r="D312" s="9" t="s">
        <v>153</v>
      </c>
      <c r="E312" s="10">
        <v>6.29</v>
      </c>
      <c r="F312" s="16">
        <v>0.63840000000000008</v>
      </c>
      <c r="G312" s="16">
        <v>0.58030000000000004</v>
      </c>
      <c r="H312" s="12">
        <v>35</v>
      </c>
      <c r="I312" s="12">
        <v>35</v>
      </c>
      <c r="J312" s="10">
        <v>193252.52</v>
      </c>
      <c r="K312" s="10">
        <v>5521.5</v>
      </c>
      <c r="L312" s="12">
        <v>35</v>
      </c>
      <c r="M312" s="16">
        <v>1</v>
      </c>
      <c r="N312" s="12">
        <v>35</v>
      </c>
      <c r="O312" s="16">
        <v>1</v>
      </c>
      <c r="P312" s="12">
        <v>0</v>
      </c>
      <c r="Q312" s="16">
        <v>0</v>
      </c>
      <c r="R312" s="10">
        <v>5521.5</v>
      </c>
      <c r="S312" s="10">
        <v>5521.5005714285708</v>
      </c>
      <c r="T312" s="10">
        <v>181.1101868167101</v>
      </c>
      <c r="U312" s="10">
        <v>181.1101868167101</v>
      </c>
    </row>
    <row r="313" spans="1:21" x14ac:dyDescent="0.35">
      <c r="A313" s="6" t="s">
        <v>139</v>
      </c>
      <c r="B313" s="6" t="s">
        <v>151</v>
      </c>
      <c r="C313" s="6" t="s">
        <v>152</v>
      </c>
      <c r="D313" s="6" t="s">
        <v>153</v>
      </c>
      <c r="E313" s="7">
        <v>6.3</v>
      </c>
      <c r="F313" s="18">
        <v>0.69159999999999999</v>
      </c>
      <c r="G313" s="18">
        <v>0.66879999999999995</v>
      </c>
      <c r="H313" s="13">
        <v>52</v>
      </c>
      <c r="I313" s="13">
        <v>52</v>
      </c>
      <c r="J313" s="7">
        <v>151079.96</v>
      </c>
      <c r="K313" s="7">
        <v>2905.38</v>
      </c>
      <c r="L313" s="13">
        <v>52</v>
      </c>
      <c r="M313" s="18">
        <v>1</v>
      </c>
      <c r="N313" s="13">
        <v>52</v>
      </c>
      <c r="O313" s="18">
        <v>1</v>
      </c>
      <c r="P313" s="13">
        <v>0</v>
      </c>
      <c r="Q313" s="18">
        <v>0</v>
      </c>
      <c r="R313" s="7">
        <v>2905.38</v>
      </c>
      <c r="S313" s="7">
        <v>2905.3838461538462</v>
      </c>
      <c r="T313" s="7">
        <v>344.18860052650263</v>
      </c>
      <c r="U313" s="7">
        <v>344.18860052650263</v>
      </c>
    </row>
    <row r="314" spans="1:21" x14ac:dyDescent="0.35">
      <c r="A314" s="9" t="s">
        <v>146</v>
      </c>
      <c r="B314" s="9" t="s">
        <v>147</v>
      </c>
      <c r="C314" s="9" t="s">
        <v>152</v>
      </c>
      <c r="D314" s="9" t="s">
        <v>153</v>
      </c>
      <c r="E314" s="10">
        <v>6.27</v>
      </c>
      <c r="F314" s="16">
        <v>0.67989999999999995</v>
      </c>
      <c r="G314" s="16">
        <v>0.6149</v>
      </c>
      <c r="H314" s="12">
        <v>51</v>
      </c>
      <c r="I314" s="12">
        <v>51</v>
      </c>
      <c r="J314" s="10">
        <v>136427.24</v>
      </c>
      <c r="K314" s="10">
        <v>2675.04</v>
      </c>
      <c r="L314" s="12">
        <v>51</v>
      </c>
      <c r="M314" s="16">
        <v>1</v>
      </c>
      <c r="N314" s="12">
        <v>51</v>
      </c>
      <c r="O314" s="16">
        <v>1</v>
      </c>
      <c r="P314" s="12">
        <v>0</v>
      </c>
      <c r="Q314" s="16">
        <v>0</v>
      </c>
      <c r="R314" s="10">
        <v>2675.04</v>
      </c>
      <c r="S314" s="10">
        <v>2675.043921568627</v>
      </c>
      <c r="T314" s="10">
        <v>373.82563775386802</v>
      </c>
      <c r="U314" s="10">
        <v>373.82563775386802</v>
      </c>
    </row>
    <row r="315" spans="1:21" x14ac:dyDescent="0.35">
      <c r="A315" s="6" t="s">
        <v>143</v>
      </c>
      <c r="B315" s="6" t="s">
        <v>145</v>
      </c>
      <c r="C315" s="6" t="s">
        <v>152</v>
      </c>
      <c r="D315" s="6" t="s">
        <v>153</v>
      </c>
      <c r="E315" s="7">
        <v>6.29</v>
      </c>
      <c r="F315" s="18">
        <v>0.68</v>
      </c>
      <c r="G315" s="18">
        <v>0.64410000000000001</v>
      </c>
      <c r="H315" s="13">
        <v>48</v>
      </c>
      <c r="I315" s="13">
        <v>48</v>
      </c>
      <c r="J315" s="7">
        <v>135594.53</v>
      </c>
      <c r="K315" s="7">
        <v>2824.89</v>
      </c>
      <c r="L315" s="13">
        <v>48</v>
      </c>
      <c r="M315" s="18">
        <v>1</v>
      </c>
      <c r="N315" s="13">
        <v>48</v>
      </c>
      <c r="O315" s="18">
        <v>1</v>
      </c>
      <c r="P315" s="13">
        <v>0</v>
      </c>
      <c r="Q315" s="18">
        <v>0</v>
      </c>
      <c r="R315" s="7">
        <v>2824.89</v>
      </c>
      <c r="S315" s="7">
        <v>2824.8860416666671</v>
      </c>
      <c r="T315" s="7">
        <v>353.99658083552481</v>
      </c>
      <c r="U315" s="7">
        <v>353.99658083552481</v>
      </c>
    </row>
    <row r="316" spans="1:21" x14ac:dyDescent="0.35">
      <c r="A316" s="9" t="s">
        <v>146</v>
      </c>
      <c r="B316" s="9" t="s">
        <v>145</v>
      </c>
      <c r="C316" s="9" t="s">
        <v>152</v>
      </c>
      <c r="D316" s="9" t="s">
        <v>153</v>
      </c>
      <c r="E316" s="10">
        <v>6.26</v>
      </c>
      <c r="F316" s="16">
        <v>0.68530000000000002</v>
      </c>
      <c r="G316" s="16">
        <v>0.61529999999999996</v>
      </c>
      <c r="H316" s="12">
        <v>49</v>
      </c>
      <c r="I316" s="12">
        <v>49</v>
      </c>
      <c r="J316" s="10">
        <v>131708.87</v>
      </c>
      <c r="K316" s="10">
        <v>2687.94</v>
      </c>
      <c r="L316" s="12">
        <v>49</v>
      </c>
      <c r="M316" s="16">
        <v>1</v>
      </c>
      <c r="N316" s="12">
        <v>49</v>
      </c>
      <c r="O316" s="16">
        <v>1</v>
      </c>
      <c r="P316" s="12">
        <v>0</v>
      </c>
      <c r="Q316" s="16">
        <v>0</v>
      </c>
      <c r="R316" s="10">
        <v>2687.94</v>
      </c>
      <c r="S316" s="10">
        <v>2687.9361224489789</v>
      </c>
      <c r="T316" s="10">
        <v>372.03265049650798</v>
      </c>
      <c r="U316" s="10">
        <v>372.03265049650798</v>
      </c>
    </row>
    <row r="317" spans="1:21" x14ac:dyDescent="0.35">
      <c r="A317" s="6" t="s">
        <v>150</v>
      </c>
      <c r="B317" s="6" t="s">
        <v>148</v>
      </c>
      <c r="C317" s="6" t="s">
        <v>152</v>
      </c>
      <c r="D317" s="6" t="s">
        <v>153</v>
      </c>
      <c r="E317" s="7">
        <v>6.33</v>
      </c>
      <c r="F317" s="18">
        <v>0.68049999999999999</v>
      </c>
      <c r="G317" s="18">
        <v>0.63350000000000006</v>
      </c>
      <c r="H317" s="13">
        <v>34</v>
      </c>
      <c r="I317" s="13">
        <v>34</v>
      </c>
      <c r="J317" s="7">
        <v>129506.19</v>
      </c>
      <c r="K317" s="7">
        <v>3809.01</v>
      </c>
      <c r="L317" s="13">
        <v>34</v>
      </c>
      <c r="M317" s="18">
        <v>1</v>
      </c>
      <c r="N317" s="13">
        <v>34</v>
      </c>
      <c r="O317" s="18">
        <v>1</v>
      </c>
      <c r="P317" s="13">
        <v>0</v>
      </c>
      <c r="Q317" s="18">
        <v>0</v>
      </c>
      <c r="R317" s="7">
        <v>3809.01</v>
      </c>
      <c r="S317" s="7">
        <v>3809.005588235294</v>
      </c>
      <c r="T317" s="7">
        <v>262.53571354388538</v>
      </c>
      <c r="U317" s="7">
        <v>262.53571354388538</v>
      </c>
    </row>
    <row r="318" spans="1:21" x14ac:dyDescent="0.35">
      <c r="A318" s="9" t="s">
        <v>146</v>
      </c>
      <c r="B318" s="9" t="s">
        <v>151</v>
      </c>
      <c r="C318" s="9" t="s">
        <v>152</v>
      </c>
      <c r="D318" s="9" t="s">
        <v>153</v>
      </c>
      <c r="E318" s="10">
        <v>6.28</v>
      </c>
      <c r="F318" s="16">
        <v>0.66510000000000002</v>
      </c>
      <c r="G318" s="16">
        <v>0.62049999999999994</v>
      </c>
      <c r="H318" s="12">
        <v>40</v>
      </c>
      <c r="I318" s="12">
        <v>40</v>
      </c>
      <c r="J318" s="10">
        <v>128852.66</v>
      </c>
      <c r="K318" s="10">
        <v>3221.32</v>
      </c>
      <c r="L318" s="12">
        <v>40</v>
      </c>
      <c r="M318" s="16">
        <v>1</v>
      </c>
      <c r="N318" s="12">
        <v>40</v>
      </c>
      <c r="O318" s="16">
        <v>1</v>
      </c>
      <c r="P318" s="12">
        <v>0</v>
      </c>
      <c r="Q318" s="16">
        <v>0</v>
      </c>
      <c r="R318" s="10">
        <v>3221.32</v>
      </c>
      <c r="S318" s="10">
        <v>3221.3164999999999</v>
      </c>
      <c r="T318" s="10">
        <v>310.43208576369318</v>
      </c>
      <c r="U318" s="10">
        <v>310.43208576369318</v>
      </c>
    </row>
    <row r="319" spans="1:21" x14ac:dyDescent="0.35">
      <c r="A319" s="6" t="s">
        <v>143</v>
      </c>
      <c r="B319" s="6" t="s">
        <v>144</v>
      </c>
      <c r="C319" s="6" t="s">
        <v>152</v>
      </c>
      <c r="D319" s="6" t="s">
        <v>153</v>
      </c>
      <c r="E319" s="7">
        <v>6.31</v>
      </c>
      <c r="F319" s="18">
        <v>0.67799999999999994</v>
      </c>
      <c r="G319" s="18">
        <v>0.65540000000000009</v>
      </c>
      <c r="H319" s="13">
        <v>45</v>
      </c>
      <c r="I319" s="13">
        <v>45</v>
      </c>
      <c r="J319" s="7">
        <v>127809.31</v>
      </c>
      <c r="K319" s="7">
        <v>2840.21</v>
      </c>
      <c r="L319" s="13">
        <v>45</v>
      </c>
      <c r="M319" s="18">
        <v>1</v>
      </c>
      <c r="N319" s="13">
        <v>45</v>
      </c>
      <c r="O319" s="18">
        <v>1</v>
      </c>
      <c r="P319" s="13">
        <v>0</v>
      </c>
      <c r="Q319" s="18">
        <v>0</v>
      </c>
      <c r="R319" s="7">
        <v>2840.21</v>
      </c>
      <c r="S319" s="7">
        <v>2840.2068888888889</v>
      </c>
      <c r="T319" s="7">
        <v>352.0870271500566</v>
      </c>
      <c r="U319" s="7">
        <v>352.0870271500566</v>
      </c>
    </row>
    <row r="320" spans="1:21" x14ac:dyDescent="0.35">
      <c r="A320" s="9" t="s">
        <v>149</v>
      </c>
      <c r="B320" s="9" t="s">
        <v>151</v>
      </c>
      <c r="C320" s="9" t="s">
        <v>152</v>
      </c>
      <c r="D320" s="9" t="s">
        <v>153</v>
      </c>
      <c r="E320" s="10">
        <v>6.33</v>
      </c>
      <c r="F320" s="16">
        <v>0.67379999999999995</v>
      </c>
      <c r="G320" s="16">
        <v>0.62740000000000007</v>
      </c>
      <c r="H320" s="12">
        <v>42</v>
      </c>
      <c r="I320" s="12">
        <v>42</v>
      </c>
      <c r="J320" s="10">
        <v>126733.21</v>
      </c>
      <c r="K320" s="10">
        <v>3017.46</v>
      </c>
      <c r="L320" s="12">
        <v>42</v>
      </c>
      <c r="M320" s="16">
        <v>1</v>
      </c>
      <c r="N320" s="12">
        <v>42</v>
      </c>
      <c r="O320" s="16">
        <v>1</v>
      </c>
      <c r="P320" s="12">
        <v>0</v>
      </c>
      <c r="Q320" s="16">
        <v>0</v>
      </c>
      <c r="R320" s="10">
        <v>3017.46</v>
      </c>
      <c r="S320" s="10">
        <v>3017.4573809523808</v>
      </c>
      <c r="T320" s="10">
        <v>331.40484644869332</v>
      </c>
      <c r="U320" s="10">
        <v>331.40484644869332</v>
      </c>
    </row>
    <row r="321" spans="1:21" x14ac:dyDescent="0.35">
      <c r="A321" s="6" t="s">
        <v>139</v>
      </c>
      <c r="B321" s="6" t="s">
        <v>145</v>
      </c>
      <c r="C321" s="6" t="s">
        <v>152</v>
      </c>
      <c r="D321" s="6" t="s">
        <v>153</v>
      </c>
      <c r="E321" s="7">
        <v>6.29</v>
      </c>
      <c r="F321" s="18">
        <v>0.67879999999999996</v>
      </c>
      <c r="G321" s="18">
        <v>0.62790000000000001</v>
      </c>
      <c r="H321" s="13">
        <v>41</v>
      </c>
      <c r="I321" s="13">
        <v>41</v>
      </c>
      <c r="J321" s="7">
        <v>117278.25</v>
      </c>
      <c r="K321" s="7">
        <v>2860.45</v>
      </c>
      <c r="L321" s="13">
        <v>41</v>
      </c>
      <c r="M321" s="18">
        <v>1</v>
      </c>
      <c r="N321" s="13">
        <v>41</v>
      </c>
      <c r="O321" s="18">
        <v>1</v>
      </c>
      <c r="P321" s="13">
        <v>0</v>
      </c>
      <c r="Q321" s="18">
        <v>0</v>
      </c>
      <c r="R321" s="7">
        <v>2860.45</v>
      </c>
      <c r="S321" s="7">
        <v>2860.4451219512189</v>
      </c>
      <c r="T321" s="7">
        <v>349.59593957106279</v>
      </c>
      <c r="U321" s="7">
        <v>349.59593957106279</v>
      </c>
    </row>
    <row r="322" spans="1:21" x14ac:dyDescent="0.35">
      <c r="A322" s="9" t="s">
        <v>149</v>
      </c>
      <c r="B322" s="9" t="s">
        <v>145</v>
      </c>
      <c r="C322" s="9" t="s">
        <v>152</v>
      </c>
      <c r="D322" s="9" t="s">
        <v>153</v>
      </c>
      <c r="E322" s="10">
        <v>6.31</v>
      </c>
      <c r="F322" s="16">
        <v>0.67830000000000001</v>
      </c>
      <c r="G322" s="16">
        <v>0.6321</v>
      </c>
      <c r="H322" s="12">
        <v>45</v>
      </c>
      <c r="I322" s="12">
        <v>45</v>
      </c>
      <c r="J322" s="10">
        <v>113322.22</v>
      </c>
      <c r="K322" s="10">
        <v>2518.27</v>
      </c>
      <c r="L322" s="12">
        <v>45</v>
      </c>
      <c r="M322" s="16">
        <v>1</v>
      </c>
      <c r="N322" s="12">
        <v>45</v>
      </c>
      <c r="O322" s="16">
        <v>1</v>
      </c>
      <c r="P322" s="12">
        <v>0</v>
      </c>
      <c r="Q322" s="16">
        <v>0</v>
      </c>
      <c r="R322" s="10">
        <v>2518.27</v>
      </c>
      <c r="S322" s="10">
        <v>2518.271555555556</v>
      </c>
      <c r="T322" s="10">
        <v>397.09776246882558</v>
      </c>
      <c r="U322" s="10">
        <v>397.09776246882558</v>
      </c>
    </row>
    <row r="323" spans="1:21" x14ac:dyDescent="0.35">
      <c r="A323" s="6" t="s">
        <v>139</v>
      </c>
      <c r="B323" s="6" t="s">
        <v>147</v>
      </c>
      <c r="C323" s="6" t="s">
        <v>152</v>
      </c>
      <c r="D323" s="6" t="s">
        <v>153</v>
      </c>
      <c r="E323" s="7">
        <v>6.24</v>
      </c>
      <c r="F323" s="18">
        <v>0.66709999999999992</v>
      </c>
      <c r="G323" s="18">
        <v>0.65049999999999997</v>
      </c>
      <c r="H323" s="13">
        <v>44</v>
      </c>
      <c r="I323" s="13">
        <v>44</v>
      </c>
      <c r="J323" s="7">
        <v>112075.77</v>
      </c>
      <c r="K323" s="7">
        <v>2547.1799999999998</v>
      </c>
      <c r="L323" s="13">
        <v>44</v>
      </c>
      <c r="M323" s="18">
        <v>1</v>
      </c>
      <c r="N323" s="13">
        <v>44</v>
      </c>
      <c r="O323" s="18">
        <v>1</v>
      </c>
      <c r="P323" s="13">
        <v>0</v>
      </c>
      <c r="Q323" s="18">
        <v>0</v>
      </c>
      <c r="R323" s="7">
        <v>2547.1799999999998</v>
      </c>
      <c r="S323" s="7">
        <v>2547.1765909090909</v>
      </c>
      <c r="T323" s="7">
        <v>392.59154766458443</v>
      </c>
      <c r="U323" s="7">
        <v>392.59154766458443</v>
      </c>
    </row>
    <row r="324" spans="1:21" x14ac:dyDescent="0.35">
      <c r="A324" s="9" t="s">
        <v>150</v>
      </c>
      <c r="B324" s="9" t="s">
        <v>151</v>
      </c>
      <c r="C324" s="9" t="s">
        <v>152</v>
      </c>
      <c r="D324" s="9" t="s">
        <v>153</v>
      </c>
      <c r="E324" s="10">
        <v>6.26</v>
      </c>
      <c r="F324" s="16">
        <v>0.68849999999999989</v>
      </c>
      <c r="G324" s="16">
        <v>0.66799999999999993</v>
      </c>
      <c r="H324" s="12">
        <v>43</v>
      </c>
      <c r="I324" s="12">
        <v>43</v>
      </c>
      <c r="J324" s="10">
        <v>108818.97</v>
      </c>
      <c r="K324" s="10">
        <v>2530.67</v>
      </c>
      <c r="L324" s="12">
        <v>43</v>
      </c>
      <c r="M324" s="16">
        <v>1</v>
      </c>
      <c r="N324" s="12">
        <v>43</v>
      </c>
      <c r="O324" s="16">
        <v>1</v>
      </c>
      <c r="P324" s="12">
        <v>0</v>
      </c>
      <c r="Q324" s="16">
        <v>0</v>
      </c>
      <c r="R324" s="10">
        <v>2530.67</v>
      </c>
      <c r="S324" s="10">
        <v>2530.6737209302328</v>
      </c>
      <c r="T324" s="10">
        <v>395.15169092300732</v>
      </c>
      <c r="U324" s="10">
        <v>395.15169092300732</v>
      </c>
    </row>
    <row r="325" spans="1:21" x14ac:dyDescent="0.35">
      <c r="A325" s="6" t="s">
        <v>146</v>
      </c>
      <c r="B325" s="6" t="s">
        <v>140</v>
      </c>
      <c r="C325" s="6" t="s">
        <v>152</v>
      </c>
      <c r="D325" s="6" t="s">
        <v>153</v>
      </c>
      <c r="E325" s="7">
        <v>6.32</v>
      </c>
      <c r="F325" s="18">
        <v>0.6613</v>
      </c>
      <c r="G325" s="18">
        <v>0.65949999999999998</v>
      </c>
      <c r="H325" s="13">
        <v>39</v>
      </c>
      <c r="I325" s="13">
        <v>39</v>
      </c>
      <c r="J325" s="7">
        <v>102600.47</v>
      </c>
      <c r="K325" s="7">
        <v>2630.78</v>
      </c>
      <c r="L325" s="13">
        <v>39</v>
      </c>
      <c r="M325" s="18">
        <v>1</v>
      </c>
      <c r="N325" s="13">
        <v>39</v>
      </c>
      <c r="O325" s="18">
        <v>1</v>
      </c>
      <c r="P325" s="13">
        <v>0</v>
      </c>
      <c r="Q325" s="18">
        <v>0</v>
      </c>
      <c r="R325" s="7">
        <v>2630.78</v>
      </c>
      <c r="S325" s="7">
        <v>2630.7812820512818</v>
      </c>
      <c r="T325" s="7">
        <v>380.1152177957859</v>
      </c>
      <c r="U325" s="7">
        <v>380.1152177957859</v>
      </c>
    </row>
    <row r="326" spans="1:21" x14ac:dyDescent="0.35">
      <c r="A326" s="9" t="s">
        <v>143</v>
      </c>
      <c r="B326" s="9" t="s">
        <v>140</v>
      </c>
      <c r="C326" s="9" t="s">
        <v>152</v>
      </c>
      <c r="D326" s="9" t="s">
        <v>153</v>
      </c>
      <c r="E326" s="10">
        <v>6.28</v>
      </c>
      <c r="F326" s="16">
        <v>0.70019999999999993</v>
      </c>
      <c r="G326" s="16">
        <v>0.64700000000000002</v>
      </c>
      <c r="H326" s="12">
        <v>38</v>
      </c>
      <c r="I326" s="12">
        <v>38</v>
      </c>
      <c r="J326" s="10">
        <v>102355.05</v>
      </c>
      <c r="K326" s="10">
        <v>2693.55</v>
      </c>
      <c r="L326" s="12">
        <v>38</v>
      </c>
      <c r="M326" s="16">
        <v>1</v>
      </c>
      <c r="N326" s="12">
        <v>38</v>
      </c>
      <c r="O326" s="16">
        <v>1</v>
      </c>
      <c r="P326" s="12">
        <v>0</v>
      </c>
      <c r="Q326" s="16">
        <v>0</v>
      </c>
      <c r="R326" s="10">
        <v>2693.55</v>
      </c>
      <c r="S326" s="10">
        <v>2693.5539473684212</v>
      </c>
      <c r="T326" s="10">
        <v>371.25671864749222</v>
      </c>
      <c r="U326" s="10">
        <v>371.25671864749222</v>
      </c>
    </row>
    <row r="327" spans="1:21" x14ac:dyDescent="0.35">
      <c r="A327" s="6" t="s">
        <v>143</v>
      </c>
      <c r="B327" s="6" t="s">
        <v>148</v>
      </c>
      <c r="C327" s="6" t="s">
        <v>152</v>
      </c>
      <c r="D327" s="6" t="s">
        <v>153</v>
      </c>
      <c r="E327" s="7">
        <v>6.21</v>
      </c>
      <c r="F327" s="18">
        <v>0.66769999999999996</v>
      </c>
      <c r="G327" s="18">
        <v>0.61419999999999997</v>
      </c>
      <c r="H327" s="13">
        <v>40</v>
      </c>
      <c r="I327" s="13">
        <v>40</v>
      </c>
      <c r="J327" s="7">
        <v>99710.31</v>
      </c>
      <c r="K327" s="7">
        <v>2492.7600000000002</v>
      </c>
      <c r="L327" s="13">
        <v>40</v>
      </c>
      <c r="M327" s="18">
        <v>1</v>
      </c>
      <c r="N327" s="13">
        <v>40</v>
      </c>
      <c r="O327" s="18">
        <v>1</v>
      </c>
      <c r="P327" s="13">
        <v>0</v>
      </c>
      <c r="Q327" s="18">
        <v>0</v>
      </c>
      <c r="R327" s="7">
        <v>2492.7600000000002</v>
      </c>
      <c r="S327" s="7">
        <v>2492.7577500000002</v>
      </c>
      <c r="T327" s="7">
        <v>401.16212656444458</v>
      </c>
      <c r="U327" s="7">
        <v>401.16212656444458</v>
      </c>
    </row>
    <row r="328" spans="1:21" x14ac:dyDescent="0.35">
      <c r="A328" s="9" t="s">
        <v>146</v>
      </c>
      <c r="B328" s="9" t="s">
        <v>148</v>
      </c>
      <c r="C328" s="9" t="s">
        <v>152</v>
      </c>
      <c r="D328" s="9" t="s">
        <v>153</v>
      </c>
      <c r="E328" s="10">
        <v>6.29</v>
      </c>
      <c r="F328" s="16">
        <v>0.66980000000000006</v>
      </c>
      <c r="G328" s="16">
        <v>0.69140000000000001</v>
      </c>
      <c r="H328" s="12">
        <v>39</v>
      </c>
      <c r="I328" s="12">
        <v>39</v>
      </c>
      <c r="J328" s="10">
        <v>93225.87</v>
      </c>
      <c r="K328" s="10">
        <v>2390.41</v>
      </c>
      <c r="L328" s="12">
        <v>39</v>
      </c>
      <c r="M328" s="16">
        <v>1</v>
      </c>
      <c r="N328" s="12">
        <v>39</v>
      </c>
      <c r="O328" s="16">
        <v>1</v>
      </c>
      <c r="P328" s="12">
        <v>0</v>
      </c>
      <c r="Q328" s="16">
        <v>0</v>
      </c>
      <c r="R328" s="10">
        <v>2390.41</v>
      </c>
      <c r="S328" s="10">
        <v>2390.4069230769228</v>
      </c>
      <c r="T328" s="10">
        <v>418.33881518080773</v>
      </c>
      <c r="U328" s="10">
        <v>418.33881518080773</v>
      </c>
    </row>
    <row r="329" spans="1:21" x14ac:dyDescent="0.35">
      <c r="A329" s="6" t="s">
        <v>149</v>
      </c>
      <c r="B329" s="6" t="s">
        <v>144</v>
      </c>
      <c r="C329" s="6" t="s">
        <v>152</v>
      </c>
      <c r="D329" s="6" t="s">
        <v>153</v>
      </c>
      <c r="E329" s="7">
        <v>6.26</v>
      </c>
      <c r="F329" s="18">
        <v>0.68620000000000003</v>
      </c>
      <c r="G329" s="18">
        <v>0.63249999999999995</v>
      </c>
      <c r="H329" s="13">
        <v>36</v>
      </c>
      <c r="I329" s="13">
        <v>36</v>
      </c>
      <c r="J329" s="7">
        <v>93037.9</v>
      </c>
      <c r="K329" s="7">
        <v>2584.39</v>
      </c>
      <c r="L329" s="13">
        <v>36</v>
      </c>
      <c r="M329" s="18">
        <v>1</v>
      </c>
      <c r="N329" s="13">
        <v>36</v>
      </c>
      <c r="O329" s="18">
        <v>1</v>
      </c>
      <c r="P329" s="13">
        <v>0</v>
      </c>
      <c r="Q329" s="18">
        <v>0</v>
      </c>
      <c r="R329" s="7">
        <v>2584.39</v>
      </c>
      <c r="S329" s="7">
        <v>2584.3861111111109</v>
      </c>
      <c r="T329" s="7">
        <v>386.93908611436842</v>
      </c>
      <c r="U329" s="7">
        <v>386.93908611436842</v>
      </c>
    </row>
    <row r="330" spans="1:21" x14ac:dyDescent="0.35">
      <c r="A330" s="9" t="s">
        <v>150</v>
      </c>
      <c r="B330" s="9" t="s">
        <v>144</v>
      </c>
      <c r="C330" s="9" t="s">
        <v>152</v>
      </c>
      <c r="D330" s="9" t="s">
        <v>153</v>
      </c>
      <c r="E330" s="10">
        <v>6.3</v>
      </c>
      <c r="F330" s="16">
        <v>0.68140000000000001</v>
      </c>
      <c r="G330" s="16">
        <v>0.67760000000000009</v>
      </c>
      <c r="H330" s="12">
        <v>36</v>
      </c>
      <c r="I330" s="12">
        <v>36</v>
      </c>
      <c r="J330" s="10">
        <v>92742.46</v>
      </c>
      <c r="K330" s="10">
        <v>2576.1799999999998</v>
      </c>
      <c r="L330" s="12">
        <v>36</v>
      </c>
      <c r="M330" s="16">
        <v>1</v>
      </c>
      <c r="N330" s="12">
        <v>36</v>
      </c>
      <c r="O330" s="16">
        <v>1</v>
      </c>
      <c r="P330" s="12">
        <v>0</v>
      </c>
      <c r="Q330" s="16">
        <v>0</v>
      </c>
      <c r="R330" s="10">
        <v>2576.1799999999998</v>
      </c>
      <c r="S330" s="10">
        <v>2576.179444444444</v>
      </c>
      <c r="T330" s="10">
        <v>388.17171767925919</v>
      </c>
      <c r="U330" s="10">
        <v>388.17171767925919</v>
      </c>
    </row>
    <row r="331" spans="1:21" x14ac:dyDescent="0.35">
      <c r="A331" s="6" t="s">
        <v>149</v>
      </c>
      <c r="B331" s="6" t="s">
        <v>147</v>
      </c>
      <c r="C331" s="6" t="s">
        <v>152</v>
      </c>
      <c r="D331" s="6" t="s">
        <v>153</v>
      </c>
      <c r="E331" s="7">
        <v>6.3</v>
      </c>
      <c r="F331" s="18">
        <v>0.67709999999999992</v>
      </c>
      <c r="G331" s="18">
        <v>0.61130000000000007</v>
      </c>
      <c r="H331" s="13">
        <v>38</v>
      </c>
      <c r="I331" s="13">
        <v>38</v>
      </c>
      <c r="J331" s="7">
        <v>91838.22</v>
      </c>
      <c r="K331" s="7">
        <v>2416.8000000000002</v>
      </c>
      <c r="L331" s="13">
        <v>38</v>
      </c>
      <c r="M331" s="18">
        <v>1</v>
      </c>
      <c r="N331" s="13">
        <v>38</v>
      </c>
      <c r="O331" s="18">
        <v>1</v>
      </c>
      <c r="P331" s="13">
        <v>0</v>
      </c>
      <c r="Q331" s="18">
        <v>0</v>
      </c>
      <c r="R331" s="7">
        <v>2416.8000000000002</v>
      </c>
      <c r="S331" s="7">
        <v>2416.7952631578951</v>
      </c>
      <c r="T331" s="7">
        <v>413.77108572008473</v>
      </c>
      <c r="U331" s="7">
        <v>413.77108572008473</v>
      </c>
    </row>
    <row r="332" spans="1:21" x14ac:dyDescent="0.35">
      <c r="A332" s="9" t="s">
        <v>146</v>
      </c>
      <c r="B332" s="9" t="s">
        <v>144</v>
      </c>
      <c r="C332" s="9" t="s">
        <v>152</v>
      </c>
      <c r="D332" s="9" t="s">
        <v>153</v>
      </c>
      <c r="E332" s="10">
        <v>6.28</v>
      </c>
      <c r="F332" s="16">
        <v>0.70250000000000001</v>
      </c>
      <c r="G332" s="16">
        <v>0.6109</v>
      </c>
      <c r="H332" s="12">
        <v>38</v>
      </c>
      <c r="I332" s="12">
        <v>38</v>
      </c>
      <c r="J332" s="10">
        <v>89911.99</v>
      </c>
      <c r="K332" s="10">
        <v>2366.11</v>
      </c>
      <c r="L332" s="12">
        <v>38</v>
      </c>
      <c r="M332" s="16">
        <v>1</v>
      </c>
      <c r="N332" s="12">
        <v>38</v>
      </c>
      <c r="O332" s="16">
        <v>1</v>
      </c>
      <c r="P332" s="12">
        <v>0</v>
      </c>
      <c r="Q332" s="16">
        <v>0</v>
      </c>
      <c r="R332" s="10">
        <v>2366.11</v>
      </c>
      <c r="S332" s="10">
        <v>2366.105</v>
      </c>
      <c r="T332" s="10">
        <v>422.63551279423348</v>
      </c>
      <c r="U332" s="10">
        <v>422.63551279423348</v>
      </c>
    </row>
    <row r="333" spans="1:21" x14ac:dyDescent="0.35">
      <c r="A333" s="6" t="s">
        <v>143</v>
      </c>
      <c r="B333" s="6" t="s">
        <v>151</v>
      </c>
      <c r="C333" s="6" t="s">
        <v>152</v>
      </c>
      <c r="D333" s="6" t="s">
        <v>153</v>
      </c>
      <c r="E333" s="7">
        <v>6.29</v>
      </c>
      <c r="F333" s="18">
        <v>0.64859999999999995</v>
      </c>
      <c r="G333" s="18">
        <v>0.65410000000000001</v>
      </c>
      <c r="H333" s="13">
        <v>38</v>
      </c>
      <c r="I333" s="13">
        <v>38</v>
      </c>
      <c r="J333" s="7">
        <v>88033.86</v>
      </c>
      <c r="K333" s="7">
        <v>2316.6799999999998</v>
      </c>
      <c r="L333" s="13">
        <v>38</v>
      </c>
      <c r="M333" s="18">
        <v>1</v>
      </c>
      <c r="N333" s="13">
        <v>38</v>
      </c>
      <c r="O333" s="18">
        <v>1</v>
      </c>
      <c r="P333" s="13">
        <v>0</v>
      </c>
      <c r="Q333" s="18">
        <v>0</v>
      </c>
      <c r="R333" s="7">
        <v>2316.6799999999998</v>
      </c>
      <c r="S333" s="7">
        <v>2316.6805263157889</v>
      </c>
      <c r="T333" s="7">
        <v>431.6520938647925</v>
      </c>
      <c r="U333" s="7">
        <v>431.6520938647925</v>
      </c>
    </row>
    <row r="334" spans="1:21" x14ac:dyDescent="0.35">
      <c r="A334" s="9" t="s">
        <v>150</v>
      </c>
      <c r="B334" s="9" t="s">
        <v>145</v>
      </c>
      <c r="C334" s="9" t="s">
        <v>152</v>
      </c>
      <c r="D334" s="9" t="s">
        <v>153</v>
      </c>
      <c r="E334" s="10">
        <v>6.35</v>
      </c>
      <c r="F334" s="16">
        <v>0.67420000000000002</v>
      </c>
      <c r="G334" s="16">
        <v>0.67189999999999994</v>
      </c>
      <c r="H334" s="12">
        <v>37</v>
      </c>
      <c r="I334" s="12">
        <v>37</v>
      </c>
      <c r="J334" s="10">
        <v>83288.53</v>
      </c>
      <c r="K334" s="10">
        <v>2251.04</v>
      </c>
      <c r="L334" s="12">
        <v>37</v>
      </c>
      <c r="M334" s="16">
        <v>1</v>
      </c>
      <c r="N334" s="12">
        <v>37</v>
      </c>
      <c r="O334" s="16">
        <v>1</v>
      </c>
      <c r="P334" s="12">
        <v>0</v>
      </c>
      <c r="Q334" s="16">
        <v>0</v>
      </c>
      <c r="R334" s="10">
        <v>2251.04</v>
      </c>
      <c r="S334" s="10">
        <v>2251.0413513513508</v>
      </c>
      <c r="T334" s="10">
        <v>444.23884057024418</v>
      </c>
      <c r="U334" s="10">
        <v>444.23884057024418</v>
      </c>
    </row>
    <row r="335" spans="1:21" x14ac:dyDescent="0.35">
      <c r="A335" s="6" t="s">
        <v>149</v>
      </c>
      <c r="B335" s="6" t="s">
        <v>148</v>
      </c>
      <c r="C335" s="6" t="s">
        <v>152</v>
      </c>
      <c r="D335" s="6" t="s">
        <v>153</v>
      </c>
      <c r="E335" s="7">
        <v>6.26</v>
      </c>
      <c r="F335" s="18">
        <v>0.66879999999999995</v>
      </c>
      <c r="G335" s="18">
        <v>0.63979999999999992</v>
      </c>
      <c r="H335" s="13">
        <v>30</v>
      </c>
      <c r="I335" s="13">
        <v>30</v>
      </c>
      <c r="J335" s="7">
        <v>79457.119999999995</v>
      </c>
      <c r="K335" s="7">
        <v>2648.57</v>
      </c>
      <c r="L335" s="13">
        <v>30</v>
      </c>
      <c r="M335" s="18">
        <v>1</v>
      </c>
      <c r="N335" s="13">
        <v>30</v>
      </c>
      <c r="O335" s="18">
        <v>1</v>
      </c>
      <c r="P335" s="13">
        <v>0</v>
      </c>
      <c r="Q335" s="18">
        <v>0</v>
      </c>
      <c r="R335" s="7">
        <v>2648.57</v>
      </c>
      <c r="S335" s="7">
        <v>2648.570666666667</v>
      </c>
      <c r="T335" s="7">
        <v>377.56213665937048</v>
      </c>
      <c r="U335" s="7">
        <v>377.56213665937048</v>
      </c>
    </row>
    <row r="336" spans="1:21" x14ac:dyDescent="0.35">
      <c r="A336" s="19" t="s">
        <v>116</v>
      </c>
      <c r="B336" s="19"/>
      <c r="C336" s="19"/>
      <c r="D336" s="19"/>
      <c r="E336" s="20">
        <f>AVERAGE(E6:E335)</f>
        <v>5.6190303030302955</v>
      </c>
      <c r="F336" s="22">
        <f>AVERAGE(F6:F335)</f>
        <v>0.5782772727272727</v>
      </c>
      <c r="G336" s="22">
        <f>AVERAGE(G6:G335)</f>
        <v>0.64876818181818119</v>
      </c>
      <c r="H336" s="21">
        <f>SUM(H6:H335)</f>
        <v>200000</v>
      </c>
      <c r="I336" s="21">
        <f>SUM(I6:I335)</f>
        <v>200000</v>
      </c>
      <c r="J336" s="23">
        <f>SUM(J6:J335)</f>
        <v>686899897.12000024</v>
      </c>
      <c r="K336" s="23">
        <f>J336/H336</f>
        <v>3434.4994856000012</v>
      </c>
      <c r="L336" s="21">
        <f>SUM(L6:L335)</f>
        <v>36134</v>
      </c>
      <c r="M336" s="22">
        <f>L336/H336</f>
        <v>0.18067</v>
      </c>
      <c r="N336" s="21">
        <f>SUM(N6:N335)</f>
        <v>124512</v>
      </c>
      <c r="O336" s="22">
        <f>N336/H336</f>
        <v>0.62256</v>
      </c>
      <c r="P336" s="21">
        <f>SUM(P6:P335)</f>
        <v>75488</v>
      </c>
      <c r="Q336" s="22">
        <f>P336/H336</f>
        <v>0.37744</v>
      </c>
      <c r="R336" s="23">
        <f>J336/L336</f>
        <v>19009.794020036537</v>
      </c>
      <c r="S336" s="23">
        <f>J336/N336</f>
        <v>5516.7365163197137</v>
      </c>
      <c r="T336" s="23">
        <f>(L336/J336)*1000000</f>
        <v>52.604462675712782</v>
      </c>
      <c r="U336" s="23">
        <f>(N336/J336)*1000000</f>
        <v>181.26658705591268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0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69" customWidth="1"/>
    <col min="2" max="2" width="36" customWidth="1"/>
    <col min="3" max="3" width="42" customWidth="1"/>
    <col min="4" max="4" width="23" customWidth="1"/>
    <col min="5" max="5" width="40" customWidth="1"/>
    <col min="6" max="6" width="28" customWidth="1"/>
    <col min="7" max="7" width="25" customWidth="1"/>
    <col min="8" max="8" width="29" customWidth="1"/>
    <col min="9" max="9" width="32" customWidth="1"/>
    <col min="10" max="10" width="30" customWidth="1"/>
    <col min="11" max="11" width="25" customWidth="1"/>
    <col min="12" max="12" width="28" customWidth="1"/>
    <col min="13" max="13" width="25" customWidth="1"/>
    <col min="14" max="14" width="23" customWidth="1"/>
    <col min="15" max="15" width="29" customWidth="1"/>
    <col min="16" max="16" width="32" customWidth="1"/>
    <col min="17" max="17" width="31" customWidth="1"/>
    <col min="18" max="18" width="32" customWidth="1"/>
  </cols>
  <sheetData>
    <row r="1" spans="1:18" ht="16.5" x14ac:dyDescent="0.35">
      <c r="A1" s="14" t="s">
        <v>157</v>
      </c>
    </row>
    <row r="2" spans="1:18" x14ac:dyDescent="0.35">
      <c r="A2" s="2" t="s">
        <v>158</v>
      </c>
    </row>
    <row r="3" spans="1:18" x14ac:dyDescent="0.35">
      <c r="A3" s="3" t="s">
        <v>159</v>
      </c>
    </row>
    <row r="5" spans="1:18" x14ac:dyDescent="0.35">
      <c r="A5" s="5" t="s">
        <v>87</v>
      </c>
      <c r="B5" s="5" t="s">
        <v>160</v>
      </c>
      <c r="C5" s="5" t="s">
        <v>161</v>
      </c>
      <c r="D5" s="5" t="s">
        <v>162</v>
      </c>
      <c r="E5" s="5" t="s">
        <v>163</v>
      </c>
      <c r="F5" s="5" t="s">
        <v>164</v>
      </c>
      <c r="G5" s="5" t="s">
        <v>93</v>
      </c>
      <c r="H5" s="5" t="s">
        <v>97</v>
      </c>
      <c r="I5" s="5" t="s">
        <v>165</v>
      </c>
      <c r="J5" s="5" t="s">
        <v>166</v>
      </c>
      <c r="K5" s="5" t="s">
        <v>167</v>
      </c>
      <c r="L5" s="5" t="s">
        <v>168</v>
      </c>
      <c r="M5" s="5" t="s">
        <v>169</v>
      </c>
      <c r="N5" s="5" t="s">
        <v>170</v>
      </c>
      <c r="O5" s="5" t="s">
        <v>171</v>
      </c>
      <c r="P5" s="5" t="s">
        <v>172</v>
      </c>
      <c r="Q5" s="5" t="s">
        <v>37</v>
      </c>
      <c r="R5" s="5" t="s">
        <v>173</v>
      </c>
    </row>
    <row r="6" spans="1:18" x14ac:dyDescent="0.35">
      <c r="A6" s="9" t="s">
        <v>104</v>
      </c>
      <c r="B6" s="9" t="s">
        <v>174</v>
      </c>
      <c r="C6" s="9" t="s">
        <v>175</v>
      </c>
      <c r="D6" s="15">
        <v>0.27</v>
      </c>
      <c r="E6" s="9" t="s">
        <v>176</v>
      </c>
      <c r="F6" s="12">
        <v>9614</v>
      </c>
      <c r="G6" s="12">
        <v>9614</v>
      </c>
      <c r="H6" s="10">
        <v>120838878.81</v>
      </c>
      <c r="I6" s="10">
        <v>87412498.569999993</v>
      </c>
      <c r="J6" s="16">
        <v>0.72338058272985384</v>
      </c>
      <c r="K6" s="12">
        <v>1711</v>
      </c>
      <c r="L6" s="16">
        <v>0.17799999999999999</v>
      </c>
      <c r="M6" s="12">
        <v>1162</v>
      </c>
      <c r="N6" s="16">
        <v>0.12089999999999999</v>
      </c>
      <c r="O6" s="12">
        <v>510</v>
      </c>
      <c r="P6" s="16">
        <v>5.2999999999999999E-2</v>
      </c>
      <c r="Q6" s="12">
        <v>3383</v>
      </c>
      <c r="R6" s="15">
        <v>0.35188267110463911</v>
      </c>
    </row>
    <row r="7" spans="1:18" x14ac:dyDescent="0.35">
      <c r="A7" s="6" t="s">
        <v>104</v>
      </c>
      <c r="B7" s="6" t="s">
        <v>174</v>
      </c>
      <c r="C7" s="6" t="s">
        <v>177</v>
      </c>
      <c r="D7" s="17">
        <v>-0.13</v>
      </c>
      <c r="E7" s="6" t="s">
        <v>176</v>
      </c>
      <c r="F7" s="13">
        <v>5098</v>
      </c>
      <c r="G7" s="13">
        <v>5098</v>
      </c>
      <c r="H7" s="7">
        <v>62053562.590000004</v>
      </c>
      <c r="I7" s="7">
        <v>44437099.210000001</v>
      </c>
      <c r="J7" s="18">
        <v>0.7161087511381834</v>
      </c>
      <c r="K7" s="13">
        <v>934</v>
      </c>
      <c r="L7" s="18">
        <v>0.1832</v>
      </c>
      <c r="M7" s="13">
        <v>627</v>
      </c>
      <c r="N7" s="18">
        <v>0.123</v>
      </c>
      <c r="O7" s="13">
        <v>264</v>
      </c>
      <c r="P7" s="18">
        <v>5.1799999999999999E-2</v>
      </c>
      <c r="Q7" s="13">
        <v>1825</v>
      </c>
      <c r="R7" s="17">
        <v>0.35798352295017649</v>
      </c>
    </row>
    <row r="8" spans="1:18" x14ac:dyDescent="0.35">
      <c r="A8" s="9" t="s">
        <v>104</v>
      </c>
      <c r="B8" s="9" t="s">
        <v>174</v>
      </c>
      <c r="C8" s="9" t="s">
        <v>178</v>
      </c>
      <c r="D8" s="15">
        <v>-0.66</v>
      </c>
      <c r="E8" s="9" t="s">
        <v>176</v>
      </c>
      <c r="F8" s="12">
        <v>2882</v>
      </c>
      <c r="G8" s="12">
        <v>2882</v>
      </c>
      <c r="H8" s="10">
        <v>35071336.270000003</v>
      </c>
      <c r="I8" s="10">
        <v>24818642.460000001</v>
      </c>
      <c r="J8" s="16">
        <v>0.7076617289096524</v>
      </c>
      <c r="K8" s="12">
        <v>493</v>
      </c>
      <c r="L8" s="16">
        <v>0.1711</v>
      </c>
      <c r="M8" s="12">
        <v>328</v>
      </c>
      <c r="N8" s="16">
        <v>0.1138</v>
      </c>
      <c r="O8" s="12">
        <v>139</v>
      </c>
      <c r="P8" s="16">
        <v>4.82E-2</v>
      </c>
      <c r="Q8" s="12">
        <v>960</v>
      </c>
      <c r="R8" s="15">
        <v>0.33310201249132548</v>
      </c>
    </row>
    <row r="9" spans="1:18" x14ac:dyDescent="0.35">
      <c r="A9" s="6" t="s">
        <v>104</v>
      </c>
      <c r="B9" s="6" t="s">
        <v>174</v>
      </c>
      <c r="C9" s="6" t="s">
        <v>175</v>
      </c>
      <c r="D9" s="17">
        <v>0.27</v>
      </c>
      <c r="E9" s="6" t="s">
        <v>179</v>
      </c>
      <c r="F9" s="13">
        <v>24873</v>
      </c>
      <c r="G9" s="13">
        <v>24873</v>
      </c>
      <c r="H9" s="7">
        <v>73167395.420000002</v>
      </c>
      <c r="I9" s="7">
        <v>17528113.27</v>
      </c>
      <c r="J9" s="18">
        <v>0.23956180439913219</v>
      </c>
      <c r="K9" s="13">
        <v>4505</v>
      </c>
      <c r="L9" s="18">
        <v>0.18110000000000001</v>
      </c>
      <c r="M9" s="13">
        <v>1779</v>
      </c>
      <c r="N9" s="18">
        <v>7.1500000000000008E-2</v>
      </c>
      <c r="O9" s="13">
        <v>0</v>
      </c>
      <c r="P9" s="18">
        <v>0</v>
      </c>
      <c r="Q9" s="13">
        <v>6284</v>
      </c>
      <c r="R9" s="17">
        <v>0.25264342861737632</v>
      </c>
    </row>
    <row r="10" spans="1:18" x14ac:dyDescent="0.35">
      <c r="A10" s="9" t="s">
        <v>104</v>
      </c>
      <c r="B10" s="9" t="s">
        <v>180</v>
      </c>
      <c r="C10" s="9" t="s">
        <v>175</v>
      </c>
      <c r="D10" s="15">
        <v>0.28000000000000003</v>
      </c>
      <c r="E10" s="9" t="s">
        <v>176</v>
      </c>
      <c r="F10" s="12">
        <v>2024</v>
      </c>
      <c r="G10" s="12">
        <v>2024</v>
      </c>
      <c r="H10" s="10">
        <v>23137760.949999999</v>
      </c>
      <c r="I10" s="10">
        <v>15951566.960000001</v>
      </c>
      <c r="J10" s="16">
        <v>0.68941705269022591</v>
      </c>
      <c r="K10" s="12">
        <v>353</v>
      </c>
      <c r="L10" s="16">
        <v>0.1744</v>
      </c>
      <c r="M10" s="12">
        <v>235</v>
      </c>
      <c r="N10" s="16">
        <v>0.11609999999999999</v>
      </c>
      <c r="O10" s="12">
        <v>95</v>
      </c>
      <c r="P10" s="16">
        <v>4.6899999999999997E-2</v>
      </c>
      <c r="Q10" s="12">
        <v>683</v>
      </c>
      <c r="R10" s="15">
        <v>0.33745059288537549</v>
      </c>
    </row>
    <row r="11" spans="1:18" x14ac:dyDescent="0.35">
      <c r="A11" s="6" t="s">
        <v>104</v>
      </c>
      <c r="B11" s="6" t="s">
        <v>174</v>
      </c>
      <c r="C11" s="6" t="s">
        <v>177</v>
      </c>
      <c r="D11" s="17">
        <v>-0.14000000000000001</v>
      </c>
      <c r="E11" s="6" t="s">
        <v>179</v>
      </c>
      <c r="F11" s="13">
        <v>13052</v>
      </c>
      <c r="G11" s="13">
        <v>13052</v>
      </c>
      <c r="H11" s="7">
        <v>38423869.479999997</v>
      </c>
      <c r="I11" s="7">
        <v>9319658.5199999996</v>
      </c>
      <c r="J11" s="18">
        <v>0.24254867211775669</v>
      </c>
      <c r="K11" s="13">
        <v>2380</v>
      </c>
      <c r="L11" s="18">
        <v>0.18229999999999999</v>
      </c>
      <c r="M11" s="13">
        <v>971</v>
      </c>
      <c r="N11" s="18">
        <v>7.4400000000000008E-2</v>
      </c>
      <c r="O11" s="13">
        <v>0</v>
      </c>
      <c r="P11" s="18">
        <v>0</v>
      </c>
      <c r="Q11" s="13">
        <v>3351</v>
      </c>
      <c r="R11" s="17">
        <v>0.25674226172234138</v>
      </c>
    </row>
    <row r="12" spans="1:18" x14ac:dyDescent="0.35">
      <c r="A12" s="9" t="s">
        <v>104</v>
      </c>
      <c r="B12" s="9" t="s">
        <v>180</v>
      </c>
      <c r="C12" s="9" t="s">
        <v>177</v>
      </c>
      <c r="D12" s="15">
        <v>-0.13</v>
      </c>
      <c r="E12" s="9" t="s">
        <v>176</v>
      </c>
      <c r="F12" s="12">
        <v>1056</v>
      </c>
      <c r="G12" s="12">
        <v>1056</v>
      </c>
      <c r="H12" s="10">
        <v>12219192.529999999</v>
      </c>
      <c r="I12" s="10">
        <v>8536196.8399999999</v>
      </c>
      <c r="J12" s="16">
        <v>0.69858927413102956</v>
      </c>
      <c r="K12" s="12">
        <v>185</v>
      </c>
      <c r="L12" s="16">
        <v>0.17519999999999999</v>
      </c>
      <c r="M12" s="12">
        <v>131</v>
      </c>
      <c r="N12" s="16">
        <v>0.1241</v>
      </c>
      <c r="O12" s="12">
        <v>46</v>
      </c>
      <c r="P12" s="16">
        <v>4.36E-2</v>
      </c>
      <c r="Q12" s="12">
        <v>362</v>
      </c>
      <c r="R12" s="15">
        <v>0.34280303030303028</v>
      </c>
    </row>
    <row r="13" spans="1:18" x14ac:dyDescent="0.35">
      <c r="A13" s="6" t="s">
        <v>114</v>
      </c>
      <c r="B13" s="6" t="s">
        <v>174</v>
      </c>
      <c r="C13" s="6" t="s">
        <v>175</v>
      </c>
      <c r="D13" s="17">
        <v>0.27</v>
      </c>
      <c r="E13" s="6" t="s">
        <v>179</v>
      </c>
      <c r="F13" s="13">
        <v>11608</v>
      </c>
      <c r="G13" s="13">
        <v>11608</v>
      </c>
      <c r="H13" s="7">
        <v>34165355.899999999</v>
      </c>
      <c r="I13" s="7">
        <v>8323654.0899999999</v>
      </c>
      <c r="J13" s="18">
        <v>0.24362849063720721</v>
      </c>
      <c r="K13" s="13">
        <v>2051</v>
      </c>
      <c r="L13" s="18">
        <v>0.1767</v>
      </c>
      <c r="M13" s="13">
        <v>939</v>
      </c>
      <c r="N13" s="18">
        <v>8.09E-2</v>
      </c>
      <c r="O13" s="13">
        <v>0</v>
      </c>
      <c r="P13" s="18">
        <v>0</v>
      </c>
      <c r="Q13" s="13">
        <v>2990</v>
      </c>
      <c r="R13" s="17">
        <v>0.25758097863542379</v>
      </c>
    </row>
    <row r="14" spans="1:18" x14ac:dyDescent="0.35">
      <c r="A14" s="9" t="s">
        <v>104</v>
      </c>
      <c r="B14" s="9" t="s">
        <v>180</v>
      </c>
      <c r="C14" s="9" t="s">
        <v>178</v>
      </c>
      <c r="D14" s="15">
        <v>-0.64</v>
      </c>
      <c r="E14" s="9" t="s">
        <v>176</v>
      </c>
      <c r="F14" s="12">
        <v>653</v>
      </c>
      <c r="G14" s="12">
        <v>653</v>
      </c>
      <c r="H14" s="10">
        <v>7851128.9500000002</v>
      </c>
      <c r="I14" s="10">
        <v>5600567.2300000004</v>
      </c>
      <c r="J14" s="16">
        <v>0.7133454647945886</v>
      </c>
      <c r="K14" s="12">
        <v>119</v>
      </c>
      <c r="L14" s="16">
        <v>0.1822</v>
      </c>
      <c r="M14" s="12">
        <v>78</v>
      </c>
      <c r="N14" s="16">
        <v>0.11940000000000001</v>
      </c>
      <c r="O14" s="12">
        <v>33</v>
      </c>
      <c r="P14" s="16">
        <v>5.0500000000000003E-2</v>
      </c>
      <c r="Q14" s="12">
        <v>230</v>
      </c>
      <c r="R14" s="15">
        <v>0.35222052067381321</v>
      </c>
    </row>
    <row r="15" spans="1:18" x14ac:dyDescent="0.35">
      <c r="A15" s="6" t="s">
        <v>104</v>
      </c>
      <c r="B15" s="6" t="s">
        <v>174</v>
      </c>
      <c r="C15" s="6" t="s">
        <v>178</v>
      </c>
      <c r="D15" s="17">
        <v>-0.65</v>
      </c>
      <c r="E15" s="6" t="s">
        <v>179</v>
      </c>
      <c r="F15" s="13">
        <v>7451</v>
      </c>
      <c r="G15" s="13">
        <v>7451</v>
      </c>
      <c r="H15" s="7">
        <v>21942772.84</v>
      </c>
      <c r="I15" s="7">
        <v>5144986.72</v>
      </c>
      <c r="J15" s="18">
        <v>0.23447295186965081</v>
      </c>
      <c r="K15" s="13">
        <v>1335</v>
      </c>
      <c r="L15" s="18">
        <v>0.1792</v>
      </c>
      <c r="M15" s="13">
        <v>503</v>
      </c>
      <c r="N15" s="18">
        <v>6.7500000000000004E-2</v>
      </c>
      <c r="O15" s="13">
        <v>0</v>
      </c>
      <c r="P15" s="18">
        <v>0</v>
      </c>
      <c r="Q15" s="13">
        <v>1838</v>
      </c>
      <c r="R15" s="17">
        <v>0.2466782982150047</v>
      </c>
    </row>
    <row r="16" spans="1:18" x14ac:dyDescent="0.35">
      <c r="A16" s="9" t="s">
        <v>114</v>
      </c>
      <c r="B16" s="9" t="s">
        <v>174</v>
      </c>
      <c r="C16" s="9" t="s">
        <v>175</v>
      </c>
      <c r="D16" s="15">
        <v>0.27</v>
      </c>
      <c r="E16" s="9" t="s">
        <v>176</v>
      </c>
      <c r="F16" s="12">
        <v>4138</v>
      </c>
      <c r="G16" s="12">
        <v>4138</v>
      </c>
      <c r="H16" s="10">
        <v>19877828.059999999</v>
      </c>
      <c r="I16" s="10">
        <v>4747900.6500000004</v>
      </c>
      <c r="J16" s="16">
        <v>0.23885409591373641</v>
      </c>
      <c r="K16" s="12">
        <v>730</v>
      </c>
      <c r="L16" s="16">
        <v>0.1764</v>
      </c>
      <c r="M16" s="12">
        <v>306</v>
      </c>
      <c r="N16" s="16">
        <v>7.3899999999999993E-2</v>
      </c>
      <c r="O16" s="12">
        <v>0</v>
      </c>
      <c r="P16" s="16">
        <v>0</v>
      </c>
      <c r="Q16" s="12">
        <v>1036</v>
      </c>
      <c r="R16" s="15">
        <v>0.25036249395843402</v>
      </c>
    </row>
    <row r="17" spans="1:18" x14ac:dyDescent="0.35">
      <c r="A17" s="6" t="s">
        <v>104</v>
      </c>
      <c r="B17" s="6" t="s">
        <v>174</v>
      </c>
      <c r="C17" s="6" t="s">
        <v>175</v>
      </c>
      <c r="D17" s="17">
        <v>0.27</v>
      </c>
      <c r="E17" s="6" t="s">
        <v>181</v>
      </c>
      <c r="F17" s="13">
        <v>17861</v>
      </c>
      <c r="G17" s="13">
        <v>17861</v>
      </c>
      <c r="H17" s="7">
        <v>19343929.25</v>
      </c>
      <c r="I17" s="7">
        <v>4721550.0999999996</v>
      </c>
      <c r="J17" s="18">
        <v>0.24408433462400089</v>
      </c>
      <c r="K17" s="13">
        <v>3240</v>
      </c>
      <c r="L17" s="18">
        <v>0.18140000000000001</v>
      </c>
      <c r="M17" s="13">
        <v>1284</v>
      </c>
      <c r="N17" s="18">
        <v>7.1900000000000006E-2</v>
      </c>
      <c r="O17" s="13">
        <v>0</v>
      </c>
      <c r="P17" s="18">
        <v>0</v>
      </c>
      <c r="Q17" s="13">
        <v>4524</v>
      </c>
      <c r="R17" s="17">
        <v>0.25328928951346508</v>
      </c>
    </row>
    <row r="18" spans="1:18" x14ac:dyDescent="0.35">
      <c r="A18" s="9" t="s">
        <v>115</v>
      </c>
      <c r="B18" s="9" t="s">
        <v>174</v>
      </c>
      <c r="C18" s="9" t="s">
        <v>175</v>
      </c>
      <c r="D18" s="15">
        <v>0.27</v>
      </c>
      <c r="E18" s="9" t="s">
        <v>179</v>
      </c>
      <c r="F18" s="12">
        <v>6576</v>
      </c>
      <c r="G18" s="12">
        <v>6576</v>
      </c>
      <c r="H18" s="10">
        <v>19386180.73</v>
      </c>
      <c r="I18" s="10">
        <v>4648717.7699999996</v>
      </c>
      <c r="J18" s="16">
        <v>0.23979544164705621</v>
      </c>
      <c r="K18" s="12">
        <v>1150</v>
      </c>
      <c r="L18" s="16">
        <v>0.1749</v>
      </c>
      <c r="M18" s="12">
        <v>542</v>
      </c>
      <c r="N18" s="16">
        <v>8.2400000000000001E-2</v>
      </c>
      <c r="O18" s="12">
        <v>0</v>
      </c>
      <c r="P18" s="16">
        <v>0</v>
      </c>
      <c r="Q18" s="12">
        <v>1692</v>
      </c>
      <c r="R18" s="15">
        <v>0.25729927007299269</v>
      </c>
    </row>
    <row r="19" spans="1:18" x14ac:dyDescent="0.35">
      <c r="A19" s="6" t="s">
        <v>114</v>
      </c>
      <c r="B19" s="6" t="s">
        <v>174</v>
      </c>
      <c r="C19" s="6" t="s">
        <v>177</v>
      </c>
      <c r="D19" s="17">
        <v>-0.13</v>
      </c>
      <c r="E19" s="6" t="s">
        <v>179</v>
      </c>
      <c r="F19" s="13">
        <v>6049</v>
      </c>
      <c r="G19" s="13">
        <v>6049</v>
      </c>
      <c r="H19" s="7">
        <v>17754174.640000001</v>
      </c>
      <c r="I19" s="7">
        <v>4169372.6</v>
      </c>
      <c r="J19" s="18">
        <v>0.23483899897021629</v>
      </c>
      <c r="K19" s="13">
        <v>1033</v>
      </c>
      <c r="L19" s="18">
        <v>0.17080000000000001</v>
      </c>
      <c r="M19" s="13">
        <v>470</v>
      </c>
      <c r="N19" s="18">
        <v>7.7699999999999991E-2</v>
      </c>
      <c r="O19" s="13">
        <v>0</v>
      </c>
      <c r="P19" s="18">
        <v>0</v>
      </c>
      <c r="Q19" s="13">
        <v>1503</v>
      </c>
      <c r="R19" s="17">
        <v>0.24847082162340881</v>
      </c>
    </row>
    <row r="20" spans="1:18" x14ac:dyDescent="0.35">
      <c r="A20" s="9" t="s">
        <v>104</v>
      </c>
      <c r="B20" s="9" t="s">
        <v>180</v>
      </c>
      <c r="C20" s="9" t="s">
        <v>175</v>
      </c>
      <c r="D20" s="15">
        <v>0.27</v>
      </c>
      <c r="E20" s="9" t="s">
        <v>179</v>
      </c>
      <c r="F20" s="12">
        <v>5393</v>
      </c>
      <c r="G20" s="12">
        <v>5393</v>
      </c>
      <c r="H20" s="10">
        <v>15882605.960000001</v>
      </c>
      <c r="I20" s="10">
        <v>3900960.39</v>
      </c>
      <c r="J20" s="16">
        <v>0.24561211175448691</v>
      </c>
      <c r="K20" s="12">
        <v>1005</v>
      </c>
      <c r="L20" s="16">
        <v>0.18640000000000001</v>
      </c>
      <c r="M20" s="12">
        <v>389</v>
      </c>
      <c r="N20" s="16">
        <v>7.2099999999999997E-2</v>
      </c>
      <c r="O20" s="12">
        <v>0</v>
      </c>
      <c r="P20" s="16">
        <v>0</v>
      </c>
      <c r="Q20" s="12">
        <v>1394</v>
      </c>
      <c r="R20" s="15">
        <v>0.25848321898757648</v>
      </c>
    </row>
    <row r="21" spans="1:18" x14ac:dyDescent="0.35">
      <c r="A21" s="6" t="s">
        <v>114</v>
      </c>
      <c r="B21" s="6" t="s">
        <v>174</v>
      </c>
      <c r="C21" s="6" t="s">
        <v>177</v>
      </c>
      <c r="D21" s="17">
        <v>-0.13</v>
      </c>
      <c r="E21" s="6" t="s">
        <v>176</v>
      </c>
      <c r="F21" s="13">
        <v>2181</v>
      </c>
      <c r="G21" s="13">
        <v>2181</v>
      </c>
      <c r="H21" s="7">
        <v>10508387.08</v>
      </c>
      <c r="I21" s="7">
        <v>2830733.07</v>
      </c>
      <c r="J21" s="18">
        <v>0.26937845441452851</v>
      </c>
      <c r="K21" s="13">
        <v>445</v>
      </c>
      <c r="L21" s="18">
        <v>0.20399999999999999</v>
      </c>
      <c r="M21" s="13">
        <v>183</v>
      </c>
      <c r="N21" s="18">
        <v>8.3900000000000002E-2</v>
      </c>
      <c r="O21" s="13">
        <v>0</v>
      </c>
      <c r="P21" s="18">
        <v>0</v>
      </c>
      <c r="Q21" s="13">
        <v>628</v>
      </c>
      <c r="R21" s="17">
        <v>0.28794131132508022</v>
      </c>
    </row>
    <row r="22" spans="1:18" x14ac:dyDescent="0.35">
      <c r="A22" s="9" t="s">
        <v>115</v>
      </c>
      <c r="B22" s="9" t="s">
        <v>174</v>
      </c>
      <c r="C22" s="9" t="s">
        <v>175</v>
      </c>
      <c r="D22" s="15">
        <v>0.27</v>
      </c>
      <c r="E22" s="9" t="s">
        <v>176</v>
      </c>
      <c r="F22" s="12">
        <v>2332</v>
      </c>
      <c r="G22" s="12">
        <v>2332</v>
      </c>
      <c r="H22" s="10">
        <v>11234397.15</v>
      </c>
      <c r="I22" s="10">
        <v>2711493.4</v>
      </c>
      <c r="J22" s="16">
        <v>0.24135637754269709</v>
      </c>
      <c r="K22" s="12">
        <v>411</v>
      </c>
      <c r="L22" s="16">
        <v>0.1762</v>
      </c>
      <c r="M22" s="12">
        <v>190</v>
      </c>
      <c r="N22" s="16">
        <v>8.1500000000000003E-2</v>
      </c>
      <c r="O22" s="12">
        <v>0</v>
      </c>
      <c r="P22" s="16">
        <v>0</v>
      </c>
      <c r="Q22" s="12">
        <v>601</v>
      </c>
      <c r="R22" s="15">
        <v>0.2577186963979417</v>
      </c>
    </row>
    <row r="23" spans="1:18" x14ac:dyDescent="0.35">
      <c r="A23" s="6" t="s">
        <v>114</v>
      </c>
      <c r="B23" s="6" t="s">
        <v>174</v>
      </c>
      <c r="C23" s="6" t="s">
        <v>178</v>
      </c>
      <c r="D23" s="17">
        <v>-0.65</v>
      </c>
      <c r="E23" s="6" t="s">
        <v>179</v>
      </c>
      <c r="F23" s="13">
        <v>3527</v>
      </c>
      <c r="G23" s="13">
        <v>3527</v>
      </c>
      <c r="H23" s="7">
        <v>10375291.220000001</v>
      </c>
      <c r="I23" s="7">
        <v>2605948.7200000002</v>
      </c>
      <c r="J23" s="18">
        <v>0.25116873008601681</v>
      </c>
      <c r="K23" s="13">
        <v>663</v>
      </c>
      <c r="L23" s="18">
        <v>0.188</v>
      </c>
      <c r="M23" s="13">
        <v>284</v>
      </c>
      <c r="N23" s="18">
        <v>8.0500000000000002E-2</v>
      </c>
      <c r="O23" s="13">
        <v>0</v>
      </c>
      <c r="P23" s="18">
        <v>0</v>
      </c>
      <c r="Q23" s="13">
        <v>947</v>
      </c>
      <c r="R23" s="17">
        <v>0.26850014176353842</v>
      </c>
    </row>
    <row r="24" spans="1:18" x14ac:dyDescent="0.35">
      <c r="A24" s="9" t="s">
        <v>104</v>
      </c>
      <c r="B24" s="9" t="s">
        <v>174</v>
      </c>
      <c r="C24" s="9" t="s">
        <v>177</v>
      </c>
      <c r="D24" s="15">
        <v>-0.13</v>
      </c>
      <c r="E24" s="9" t="s">
        <v>181</v>
      </c>
      <c r="F24" s="12">
        <v>9240</v>
      </c>
      <c r="G24" s="12">
        <v>9240</v>
      </c>
      <c r="H24" s="10">
        <v>9980027.2699999996</v>
      </c>
      <c r="I24" s="10">
        <v>2431301.46</v>
      </c>
      <c r="J24" s="16">
        <v>0.24361671508739269</v>
      </c>
      <c r="K24" s="12">
        <v>1681</v>
      </c>
      <c r="L24" s="16">
        <v>0.18190000000000001</v>
      </c>
      <c r="M24" s="12">
        <v>673</v>
      </c>
      <c r="N24" s="16">
        <v>7.2800000000000004E-2</v>
      </c>
      <c r="O24" s="12">
        <v>0</v>
      </c>
      <c r="P24" s="16">
        <v>0</v>
      </c>
      <c r="Q24" s="12">
        <v>2354</v>
      </c>
      <c r="R24" s="15">
        <v>0.25476190476190469</v>
      </c>
    </row>
    <row r="25" spans="1:18" x14ac:dyDescent="0.35">
      <c r="A25" s="6" t="s">
        <v>115</v>
      </c>
      <c r="B25" s="6" t="s">
        <v>174</v>
      </c>
      <c r="C25" s="6" t="s">
        <v>177</v>
      </c>
      <c r="D25" s="17">
        <v>-0.13</v>
      </c>
      <c r="E25" s="6" t="s">
        <v>179</v>
      </c>
      <c r="F25" s="13">
        <v>3344</v>
      </c>
      <c r="G25" s="13">
        <v>3344</v>
      </c>
      <c r="H25" s="7">
        <v>9867738.6199999992</v>
      </c>
      <c r="I25" s="7">
        <v>2422504.5299999998</v>
      </c>
      <c r="J25" s="18">
        <v>0.24549743596674231</v>
      </c>
      <c r="K25" s="13">
        <v>593</v>
      </c>
      <c r="L25" s="18">
        <v>0.17730000000000001</v>
      </c>
      <c r="M25" s="13">
        <v>258</v>
      </c>
      <c r="N25" s="18">
        <v>7.7199999999999991E-2</v>
      </c>
      <c r="O25" s="13">
        <v>0</v>
      </c>
      <c r="P25" s="18">
        <v>0</v>
      </c>
      <c r="Q25" s="13">
        <v>851</v>
      </c>
      <c r="R25" s="17">
        <v>0.25448564593301443</v>
      </c>
    </row>
    <row r="26" spans="1:18" x14ac:dyDescent="0.35">
      <c r="A26" s="9" t="s">
        <v>114</v>
      </c>
      <c r="B26" s="9" t="s">
        <v>174</v>
      </c>
      <c r="C26" s="9" t="s">
        <v>175</v>
      </c>
      <c r="D26" s="15">
        <v>0.27</v>
      </c>
      <c r="E26" s="9" t="s">
        <v>181</v>
      </c>
      <c r="F26" s="12">
        <v>8319</v>
      </c>
      <c r="G26" s="12">
        <v>8319</v>
      </c>
      <c r="H26" s="10">
        <v>8989963.4800000004</v>
      </c>
      <c r="I26" s="10">
        <v>2104210.96</v>
      </c>
      <c r="J26" s="16">
        <v>0.2340622367022118</v>
      </c>
      <c r="K26" s="12">
        <v>1462</v>
      </c>
      <c r="L26" s="16">
        <v>0.1757</v>
      </c>
      <c r="M26" s="12">
        <v>648</v>
      </c>
      <c r="N26" s="16">
        <v>7.7899999999999997E-2</v>
      </c>
      <c r="O26" s="12">
        <v>0</v>
      </c>
      <c r="P26" s="16">
        <v>0</v>
      </c>
      <c r="Q26" s="12">
        <v>2110</v>
      </c>
      <c r="R26" s="15">
        <v>0.25363625435749487</v>
      </c>
    </row>
    <row r="27" spans="1:18" x14ac:dyDescent="0.35">
      <c r="A27" s="6" t="s">
        <v>104</v>
      </c>
      <c r="B27" s="6" t="s">
        <v>180</v>
      </c>
      <c r="C27" s="6" t="s">
        <v>177</v>
      </c>
      <c r="D27" s="17">
        <v>-0.14000000000000001</v>
      </c>
      <c r="E27" s="6" t="s">
        <v>179</v>
      </c>
      <c r="F27" s="13">
        <v>2873</v>
      </c>
      <c r="G27" s="13">
        <v>2873</v>
      </c>
      <c r="H27" s="7">
        <v>8452063.4700000007</v>
      </c>
      <c r="I27" s="7">
        <v>1959868.63</v>
      </c>
      <c r="J27" s="18">
        <v>0.2318804913091832</v>
      </c>
      <c r="K27" s="13">
        <v>508</v>
      </c>
      <c r="L27" s="18">
        <v>0.17680000000000001</v>
      </c>
      <c r="M27" s="13">
        <v>193</v>
      </c>
      <c r="N27" s="18">
        <v>6.7199999999999996E-2</v>
      </c>
      <c r="O27" s="13">
        <v>0</v>
      </c>
      <c r="P27" s="18">
        <v>0</v>
      </c>
      <c r="Q27" s="13">
        <v>701</v>
      </c>
      <c r="R27" s="17">
        <v>0.24399582318134361</v>
      </c>
    </row>
    <row r="28" spans="1:18" x14ac:dyDescent="0.35">
      <c r="A28" s="9" t="s">
        <v>114</v>
      </c>
      <c r="B28" s="9" t="s">
        <v>180</v>
      </c>
      <c r="C28" s="9" t="s">
        <v>175</v>
      </c>
      <c r="D28" s="15">
        <v>0.26</v>
      </c>
      <c r="E28" s="9" t="s">
        <v>179</v>
      </c>
      <c r="F28" s="12">
        <v>2501</v>
      </c>
      <c r="G28" s="12">
        <v>2501</v>
      </c>
      <c r="H28" s="10">
        <v>7353527.7199999997</v>
      </c>
      <c r="I28" s="10">
        <v>1779807.42</v>
      </c>
      <c r="J28" s="16">
        <v>0.24203450204713439</v>
      </c>
      <c r="K28" s="12">
        <v>463</v>
      </c>
      <c r="L28" s="16">
        <v>0.18509999999999999</v>
      </c>
      <c r="M28" s="12">
        <v>163</v>
      </c>
      <c r="N28" s="16">
        <v>6.5199999999999994E-2</v>
      </c>
      <c r="O28" s="12">
        <v>0</v>
      </c>
      <c r="P28" s="16">
        <v>0</v>
      </c>
      <c r="Q28" s="12">
        <v>626</v>
      </c>
      <c r="R28" s="15">
        <v>0.25029988004798082</v>
      </c>
    </row>
    <row r="29" spans="1:18" x14ac:dyDescent="0.35">
      <c r="A29" s="6" t="s">
        <v>115</v>
      </c>
      <c r="B29" s="6" t="s">
        <v>174</v>
      </c>
      <c r="C29" s="6" t="s">
        <v>177</v>
      </c>
      <c r="D29" s="17">
        <v>-0.14000000000000001</v>
      </c>
      <c r="E29" s="6" t="s">
        <v>176</v>
      </c>
      <c r="F29" s="13">
        <v>1301</v>
      </c>
      <c r="G29" s="13">
        <v>1301</v>
      </c>
      <c r="H29" s="7">
        <v>6249947.6299999999</v>
      </c>
      <c r="I29" s="7">
        <v>1584698.21</v>
      </c>
      <c r="J29" s="18">
        <v>0.25355383817832089</v>
      </c>
      <c r="K29" s="13">
        <v>242</v>
      </c>
      <c r="L29" s="18">
        <v>0.186</v>
      </c>
      <c r="M29" s="13">
        <v>109</v>
      </c>
      <c r="N29" s="18">
        <v>8.3800000000000013E-2</v>
      </c>
      <c r="O29" s="13">
        <v>0</v>
      </c>
      <c r="P29" s="18">
        <v>0</v>
      </c>
      <c r="Q29" s="13">
        <v>351</v>
      </c>
      <c r="R29" s="17">
        <v>0.26979246733282092</v>
      </c>
    </row>
    <row r="30" spans="1:18" x14ac:dyDescent="0.35">
      <c r="A30" s="9" t="s">
        <v>114</v>
      </c>
      <c r="B30" s="9" t="s">
        <v>174</v>
      </c>
      <c r="C30" s="9" t="s">
        <v>178</v>
      </c>
      <c r="D30" s="15">
        <v>-0.65</v>
      </c>
      <c r="E30" s="9" t="s">
        <v>176</v>
      </c>
      <c r="F30" s="12">
        <v>1272</v>
      </c>
      <c r="G30" s="12">
        <v>1272</v>
      </c>
      <c r="H30" s="10">
        <v>6093526.6699999999</v>
      </c>
      <c r="I30" s="10">
        <v>1537536.8</v>
      </c>
      <c r="J30" s="16">
        <v>0.2523229786733665</v>
      </c>
      <c r="K30" s="12">
        <v>233</v>
      </c>
      <c r="L30" s="16">
        <v>0.1832</v>
      </c>
      <c r="M30" s="12">
        <v>103</v>
      </c>
      <c r="N30" s="16">
        <v>8.1000000000000003E-2</v>
      </c>
      <c r="O30" s="12">
        <v>0</v>
      </c>
      <c r="P30" s="16">
        <v>0</v>
      </c>
      <c r="Q30" s="12">
        <v>336</v>
      </c>
      <c r="R30" s="15">
        <v>0.26415094339622641</v>
      </c>
    </row>
    <row r="31" spans="1:18" x14ac:dyDescent="0.35">
      <c r="A31" s="6" t="s">
        <v>115</v>
      </c>
      <c r="B31" s="6" t="s">
        <v>174</v>
      </c>
      <c r="C31" s="6" t="s">
        <v>178</v>
      </c>
      <c r="D31" s="17">
        <v>-0.66</v>
      </c>
      <c r="E31" s="6" t="s">
        <v>179</v>
      </c>
      <c r="F31" s="13">
        <v>1956</v>
      </c>
      <c r="G31" s="13">
        <v>1956</v>
      </c>
      <c r="H31" s="7">
        <v>5792739.2999999998</v>
      </c>
      <c r="I31" s="7">
        <v>1378357.94</v>
      </c>
      <c r="J31" s="18">
        <v>0.23794579189848919</v>
      </c>
      <c r="K31" s="13">
        <v>333</v>
      </c>
      <c r="L31" s="18">
        <v>0.17019999999999999</v>
      </c>
      <c r="M31" s="13">
        <v>151</v>
      </c>
      <c r="N31" s="18">
        <v>7.7199999999999991E-2</v>
      </c>
      <c r="O31" s="13">
        <v>0</v>
      </c>
      <c r="P31" s="18">
        <v>0</v>
      </c>
      <c r="Q31" s="13">
        <v>484</v>
      </c>
      <c r="R31" s="17">
        <v>0.2474437627811861</v>
      </c>
    </row>
    <row r="32" spans="1:18" x14ac:dyDescent="0.35">
      <c r="A32" s="9" t="s">
        <v>104</v>
      </c>
      <c r="B32" s="9" t="s">
        <v>174</v>
      </c>
      <c r="C32" s="9" t="s">
        <v>178</v>
      </c>
      <c r="D32" s="15">
        <v>-0.65</v>
      </c>
      <c r="E32" s="9" t="s">
        <v>181</v>
      </c>
      <c r="F32" s="12">
        <v>5268</v>
      </c>
      <c r="G32" s="12">
        <v>5268</v>
      </c>
      <c r="H32" s="10">
        <v>5729193.6200000001</v>
      </c>
      <c r="I32" s="10">
        <v>1340179.05</v>
      </c>
      <c r="J32" s="16">
        <v>0.23392106095377521</v>
      </c>
      <c r="K32" s="12">
        <v>939</v>
      </c>
      <c r="L32" s="16">
        <v>0.1782</v>
      </c>
      <c r="M32" s="12">
        <v>345</v>
      </c>
      <c r="N32" s="16">
        <v>6.5500000000000003E-2</v>
      </c>
      <c r="O32" s="12">
        <v>0</v>
      </c>
      <c r="P32" s="16">
        <v>0</v>
      </c>
      <c r="Q32" s="12">
        <v>1284</v>
      </c>
      <c r="R32" s="15">
        <v>0.24373576309794989</v>
      </c>
    </row>
    <row r="33" spans="1:18" x14ac:dyDescent="0.35">
      <c r="A33" s="6" t="s">
        <v>115</v>
      </c>
      <c r="B33" s="6" t="s">
        <v>174</v>
      </c>
      <c r="C33" s="6" t="s">
        <v>175</v>
      </c>
      <c r="D33" s="17">
        <v>0.27</v>
      </c>
      <c r="E33" s="6" t="s">
        <v>181</v>
      </c>
      <c r="F33" s="13">
        <v>4727</v>
      </c>
      <c r="G33" s="13">
        <v>4727</v>
      </c>
      <c r="H33" s="7">
        <v>5099471.63</v>
      </c>
      <c r="I33" s="7">
        <v>1310854.53</v>
      </c>
      <c r="J33" s="18">
        <v>0.25705693160214721</v>
      </c>
      <c r="K33" s="13">
        <v>908</v>
      </c>
      <c r="L33" s="18">
        <v>0.19209999999999999</v>
      </c>
      <c r="M33" s="13">
        <v>384</v>
      </c>
      <c r="N33" s="18">
        <v>8.1199999999999994E-2</v>
      </c>
      <c r="O33" s="13">
        <v>0</v>
      </c>
      <c r="P33" s="18">
        <v>0</v>
      </c>
      <c r="Q33" s="13">
        <v>1292</v>
      </c>
      <c r="R33" s="17">
        <v>0.27332346096890198</v>
      </c>
    </row>
    <row r="34" spans="1:18" x14ac:dyDescent="0.35">
      <c r="A34" s="9" t="s">
        <v>104</v>
      </c>
      <c r="B34" s="9" t="s">
        <v>180</v>
      </c>
      <c r="C34" s="9" t="s">
        <v>178</v>
      </c>
      <c r="D34" s="15">
        <v>-0.65</v>
      </c>
      <c r="E34" s="9" t="s">
        <v>179</v>
      </c>
      <c r="F34" s="12">
        <v>1667</v>
      </c>
      <c r="G34" s="12">
        <v>1667</v>
      </c>
      <c r="H34" s="10">
        <v>4913639.7699999996</v>
      </c>
      <c r="I34" s="10">
        <v>1180735.6000000001</v>
      </c>
      <c r="J34" s="16">
        <v>0.24029755034321529</v>
      </c>
      <c r="K34" s="12">
        <v>293</v>
      </c>
      <c r="L34" s="16">
        <v>0.17580000000000001</v>
      </c>
      <c r="M34" s="12">
        <v>127</v>
      </c>
      <c r="N34" s="16">
        <v>7.6200000000000004E-2</v>
      </c>
      <c r="O34" s="12">
        <v>0</v>
      </c>
      <c r="P34" s="16">
        <v>0</v>
      </c>
      <c r="Q34" s="12">
        <v>420</v>
      </c>
      <c r="R34" s="15">
        <v>0.25194961007798439</v>
      </c>
    </row>
    <row r="35" spans="1:18" x14ac:dyDescent="0.35">
      <c r="A35" s="6" t="s">
        <v>114</v>
      </c>
      <c r="B35" s="6" t="s">
        <v>180</v>
      </c>
      <c r="C35" s="6" t="s">
        <v>175</v>
      </c>
      <c r="D35" s="17">
        <v>0.26</v>
      </c>
      <c r="E35" s="6" t="s">
        <v>176</v>
      </c>
      <c r="F35" s="13">
        <v>934</v>
      </c>
      <c r="G35" s="13">
        <v>934</v>
      </c>
      <c r="H35" s="7">
        <v>4495669.5</v>
      </c>
      <c r="I35" s="7">
        <v>1154968.2</v>
      </c>
      <c r="J35" s="18">
        <v>0.25690683000607578</v>
      </c>
      <c r="K35" s="13">
        <v>189</v>
      </c>
      <c r="L35" s="18">
        <v>0.2024</v>
      </c>
      <c r="M35" s="13">
        <v>62</v>
      </c>
      <c r="N35" s="18">
        <v>6.6400000000000001E-2</v>
      </c>
      <c r="O35" s="13">
        <v>0</v>
      </c>
      <c r="P35" s="18">
        <v>0</v>
      </c>
      <c r="Q35" s="13">
        <v>251</v>
      </c>
      <c r="R35" s="17">
        <v>0.26873661670235538</v>
      </c>
    </row>
    <row r="36" spans="1:18" x14ac:dyDescent="0.35">
      <c r="A36" s="9" t="s">
        <v>114</v>
      </c>
      <c r="B36" s="9" t="s">
        <v>174</v>
      </c>
      <c r="C36" s="9" t="s">
        <v>177</v>
      </c>
      <c r="D36" s="15">
        <v>-0.13</v>
      </c>
      <c r="E36" s="9" t="s">
        <v>181</v>
      </c>
      <c r="F36" s="12">
        <v>4387</v>
      </c>
      <c r="G36" s="12">
        <v>4387</v>
      </c>
      <c r="H36" s="10">
        <v>4696963.18</v>
      </c>
      <c r="I36" s="10">
        <v>1147061.5900000001</v>
      </c>
      <c r="J36" s="16">
        <v>0.24421345155190249</v>
      </c>
      <c r="K36" s="12">
        <v>764</v>
      </c>
      <c r="L36" s="16">
        <v>0.17419999999999999</v>
      </c>
      <c r="M36" s="12">
        <v>372</v>
      </c>
      <c r="N36" s="16">
        <v>8.48E-2</v>
      </c>
      <c r="O36" s="12">
        <v>0</v>
      </c>
      <c r="P36" s="16">
        <v>0</v>
      </c>
      <c r="Q36" s="12">
        <v>1136</v>
      </c>
      <c r="R36" s="15">
        <v>0.25894688853430592</v>
      </c>
    </row>
    <row r="37" spans="1:18" x14ac:dyDescent="0.35">
      <c r="A37" s="6" t="s">
        <v>115</v>
      </c>
      <c r="B37" s="6" t="s">
        <v>180</v>
      </c>
      <c r="C37" s="6" t="s">
        <v>175</v>
      </c>
      <c r="D37" s="17">
        <v>0.27</v>
      </c>
      <c r="E37" s="6" t="s">
        <v>179</v>
      </c>
      <c r="F37" s="13">
        <v>1392</v>
      </c>
      <c r="G37" s="13">
        <v>1392</v>
      </c>
      <c r="H37" s="7">
        <v>4097100.5</v>
      </c>
      <c r="I37" s="7">
        <v>1050898.7</v>
      </c>
      <c r="J37" s="18">
        <v>0.25649815033826973</v>
      </c>
      <c r="K37" s="13">
        <v>254</v>
      </c>
      <c r="L37" s="18">
        <v>0.1825</v>
      </c>
      <c r="M37" s="13">
        <v>119</v>
      </c>
      <c r="N37" s="18">
        <v>8.5500000000000007E-2</v>
      </c>
      <c r="O37" s="13">
        <v>0</v>
      </c>
      <c r="P37" s="18">
        <v>0</v>
      </c>
      <c r="Q37" s="13">
        <v>373</v>
      </c>
      <c r="R37" s="17">
        <v>0.26795977011494249</v>
      </c>
    </row>
    <row r="38" spans="1:18" x14ac:dyDescent="0.35">
      <c r="A38" s="9" t="s">
        <v>104</v>
      </c>
      <c r="B38" s="9" t="s">
        <v>180</v>
      </c>
      <c r="C38" s="9" t="s">
        <v>175</v>
      </c>
      <c r="D38" s="15">
        <v>0.27</v>
      </c>
      <c r="E38" s="9" t="s">
        <v>181</v>
      </c>
      <c r="F38" s="12">
        <v>3873</v>
      </c>
      <c r="G38" s="12">
        <v>3873</v>
      </c>
      <c r="H38" s="10">
        <v>4234717.42</v>
      </c>
      <c r="I38" s="10">
        <v>1008601.94</v>
      </c>
      <c r="J38" s="16">
        <v>0.23817455569443871</v>
      </c>
      <c r="K38" s="12">
        <v>718</v>
      </c>
      <c r="L38" s="16">
        <v>0.18540000000000001</v>
      </c>
      <c r="M38" s="12">
        <v>268</v>
      </c>
      <c r="N38" s="16">
        <v>6.9199999999999998E-2</v>
      </c>
      <c r="O38" s="12">
        <v>0</v>
      </c>
      <c r="P38" s="16">
        <v>0</v>
      </c>
      <c r="Q38" s="12">
        <v>986</v>
      </c>
      <c r="R38" s="15">
        <v>0.25458301058610888</v>
      </c>
    </row>
    <row r="39" spans="1:18" x14ac:dyDescent="0.35">
      <c r="A39" s="6" t="s">
        <v>114</v>
      </c>
      <c r="B39" s="6" t="s">
        <v>180</v>
      </c>
      <c r="C39" s="6" t="s">
        <v>177</v>
      </c>
      <c r="D39" s="17">
        <v>-0.13</v>
      </c>
      <c r="E39" s="6" t="s">
        <v>179</v>
      </c>
      <c r="F39" s="13">
        <v>1308</v>
      </c>
      <c r="G39" s="13">
        <v>1308</v>
      </c>
      <c r="H39" s="7">
        <v>3848479.79</v>
      </c>
      <c r="I39" s="7">
        <v>960661.99</v>
      </c>
      <c r="J39" s="18">
        <v>0.24962116015165561</v>
      </c>
      <c r="K39" s="13">
        <v>247</v>
      </c>
      <c r="L39" s="18">
        <v>0.1888</v>
      </c>
      <c r="M39" s="13">
        <v>91</v>
      </c>
      <c r="N39" s="18">
        <v>6.9599999999999995E-2</v>
      </c>
      <c r="O39" s="13">
        <v>0</v>
      </c>
      <c r="P39" s="18">
        <v>0</v>
      </c>
      <c r="Q39" s="13">
        <v>338</v>
      </c>
      <c r="R39" s="17">
        <v>0.25840978593272168</v>
      </c>
    </row>
    <row r="40" spans="1:18" x14ac:dyDescent="0.35">
      <c r="A40" s="9" t="s">
        <v>115</v>
      </c>
      <c r="B40" s="9" t="s">
        <v>174</v>
      </c>
      <c r="C40" s="9" t="s">
        <v>178</v>
      </c>
      <c r="D40" s="15">
        <v>-0.66</v>
      </c>
      <c r="E40" s="9" t="s">
        <v>176</v>
      </c>
      <c r="F40" s="12">
        <v>669</v>
      </c>
      <c r="G40" s="12">
        <v>669</v>
      </c>
      <c r="H40" s="10">
        <v>3218665.09</v>
      </c>
      <c r="I40" s="10">
        <v>783197.59</v>
      </c>
      <c r="J40" s="16">
        <v>0.24332994210342029</v>
      </c>
      <c r="K40" s="12">
        <v>122</v>
      </c>
      <c r="L40" s="16">
        <v>0.18240000000000001</v>
      </c>
      <c r="M40" s="12">
        <v>51</v>
      </c>
      <c r="N40" s="16">
        <v>7.6200000000000004E-2</v>
      </c>
      <c r="O40" s="12">
        <v>0</v>
      </c>
      <c r="P40" s="16">
        <v>0</v>
      </c>
      <c r="Q40" s="12">
        <v>173</v>
      </c>
      <c r="R40" s="15">
        <v>0.25859491778774291</v>
      </c>
    </row>
    <row r="41" spans="1:18" x14ac:dyDescent="0.35">
      <c r="A41" s="6" t="s">
        <v>115</v>
      </c>
      <c r="B41" s="6" t="s">
        <v>174</v>
      </c>
      <c r="C41" s="6" t="s">
        <v>177</v>
      </c>
      <c r="D41" s="17">
        <v>-0.14000000000000001</v>
      </c>
      <c r="E41" s="6" t="s">
        <v>181</v>
      </c>
      <c r="F41" s="13">
        <v>2527</v>
      </c>
      <c r="G41" s="13">
        <v>2527</v>
      </c>
      <c r="H41" s="7">
        <v>2749700.91</v>
      </c>
      <c r="I41" s="7">
        <v>708855.05</v>
      </c>
      <c r="J41" s="18">
        <v>0.25779351034945841</v>
      </c>
      <c r="K41" s="13">
        <v>477</v>
      </c>
      <c r="L41" s="18">
        <v>0.1888</v>
      </c>
      <c r="M41" s="13">
        <v>207</v>
      </c>
      <c r="N41" s="18">
        <v>8.1900000000000001E-2</v>
      </c>
      <c r="O41" s="13">
        <v>0</v>
      </c>
      <c r="P41" s="18">
        <v>0</v>
      </c>
      <c r="Q41" s="13">
        <v>684</v>
      </c>
      <c r="R41" s="17">
        <v>0.27067669172932329</v>
      </c>
    </row>
    <row r="42" spans="1:18" x14ac:dyDescent="0.35">
      <c r="A42" s="9" t="s">
        <v>114</v>
      </c>
      <c r="B42" s="9" t="s">
        <v>174</v>
      </c>
      <c r="C42" s="9" t="s">
        <v>178</v>
      </c>
      <c r="D42" s="15">
        <v>-0.65</v>
      </c>
      <c r="E42" s="9" t="s">
        <v>181</v>
      </c>
      <c r="F42" s="12">
        <v>2553</v>
      </c>
      <c r="G42" s="12">
        <v>2553</v>
      </c>
      <c r="H42" s="10">
        <v>2779160.48</v>
      </c>
      <c r="I42" s="10">
        <v>671320.94</v>
      </c>
      <c r="J42" s="16">
        <v>0.2415552987425901</v>
      </c>
      <c r="K42" s="12">
        <v>472</v>
      </c>
      <c r="L42" s="16">
        <v>0.18490000000000001</v>
      </c>
      <c r="M42" s="12">
        <v>204</v>
      </c>
      <c r="N42" s="16">
        <v>7.9899999999999999E-2</v>
      </c>
      <c r="O42" s="12">
        <v>0</v>
      </c>
      <c r="P42" s="16">
        <v>0</v>
      </c>
      <c r="Q42" s="12">
        <v>676</v>
      </c>
      <c r="R42" s="15">
        <v>0.2647865256560909</v>
      </c>
    </row>
    <row r="43" spans="1:18" x14ac:dyDescent="0.35">
      <c r="A43" s="6" t="s">
        <v>115</v>
      </c>
      <c r="B43" s="6" t="s">
        <v>180</v>
      </c>
      <c r="C43" s="6" t="s">
        <v>175</v>
      </c>
      <c r="D43" s="17">
        <v>0.25</v>
      </c>
      <c r="E43" s="6" t="s">
        <v>176</v>
      </c>
      <c r="F43" s="13">
        <v>547</v>
      </c>
      <c r="G43" s="13">
        <v>547</v>
      </c>
      <c r="H43" s="7">
        <v>2650146.94</v>
      </c>
      <c r="I43" s="7">
        <v>651635.81999999995</v>
      </c>
      <c r="J43" s="18">
        <v>0.24588667524978819</v>
      </c>
      <c r="K43" s="13">
        <v>103</v>
      </c>
      <c r="L43" s="18">
        <v>0.1883</v>
      </c>
      <c r="M43" s="13">
        <v>38</v>
      </c>
      <c r="N43" s="18">
        <v>6.9500000000000006E-2</v>
      </c>
      <c r="O43" s="13">
        <v>0</v>
      </c>
      <c r="P43" s="18">
        <v>0</v>
      </c>
      <c r="Q43" s="13">
        <v>141</v>
      </c>
      <c r="R43" s="17">
        <v>0.25776965265082269</v>
      </c>
    </row>
    <row r="44" spans="1:18" x14ac:dyDescent="0.35">
      <c r="A44" s="9" t="s">
        <v>114</v>
      </c>
      <c r="B44" s="9" t="s">
        <v>180</v>
      </c>
      <c r="C44" s="9" t="s">
        <v>178</v>
      </c>
      <c r="D44" s="15">
        <v>-0.64</v>
      </c>
      <c r="E44" s="9" t="s">
        <v>179</v>
      </c>
      <c r="F44" s="12">
        <v>778</v>
      </c>
      <c r="G44" s="12">
        <v>778</v>
      </c>
      <c r="H44" s="10">
        <v>2318298.59</v>
      </c>
      <c r="I44" s="10">
        <v>617571.24</v>
      </c>
      <c r="J44" s="16">
        <v>0.26638986136811649</v>
      </c>
      <c r="K44" s="12">
        <v>154</v>
      </c>
      <c r="L44" s="16">
        <v>0.19789999999999999</v>
      </c>
      <c r="M44" s="12">
        <v>65</v>
      </c>
      <c r="N44" s="16">
        <v>8.3499999999999991E-2</v>
      </c>
      <c r="O44" s="12">
        <v>0</v>
      </c>
      <c r="P44" s="16">
        <v>0</v>
      </c>
      <c r="Q44" s="12">
        <v>219</v>
      </c>
      <c r="R44" s="15">
        <v>0.28149100257069409</v>
      </c>
    </row>
    <row r="45" spans="1:18" x14ac:dyDescent="0.35">
      <c r="A45" s="6" t="s">
        <v>104</v>
      </c>
      <c r="B45" s="6" t="s">
        <v>180</v>
      </c>
      <c r="C45" s="6" t="s">
        <v>177</v>
      </c>
      <c r="D45" s="17">
        <v>-0.13</v>
      </c>
      <c r="E45" s="6" t="s">
        <v>181</v>
      </c>
      <c r="F45" s="13">
        <v>2041</v>
      </c>
      <c r="G45" s="13">
        <v>2041</v>
      </c>
      <c r="H45" s="7">
        <v>2274624.4700000002</v>
      </c>
      <c r="I45" s="7">
        <v>575763.05000000005</v>
      </c>
      <c r="J45" s="18">
        <v>0.25312444211945018</v>
      </c>
      <c r="K45" s="13">
        <v>403</v>
      </c>
      <c r="L45" s="18">
        <v>0.19750000000000001</v>
      </c>
      <c r="M45" s="13">
        <v>163</v>
      </c>
      <c r="N45" s="18">
        <v>7.9899999999999999E-2</v>
      </c>
      <c r="O45" s="13">
        <v>0</v>
      </c>
      <c r="P45" s="18">
        <v>0</v>
      </c>
      <c r="Q45" s="13">
        <v>566</v>
      </c>
      <c r="R45" s="17">
        <v>0.27731504164625181</v>
      </c>
    </row>
    <row r="46" spans="1:18" x14ac:dyDescent="0.35">
      <c r="A46" s="9" t="s">
        <v>114</v>
      </c>
      <c r="B46" s="9" t="s">
        <v>180</v>
      </c>
      <c r="C46" s="9" t="s">
        <v>177</v>
      </c>
      <c r="D46" s="15">
        <v>-0.13</v>
      </c>
      <c r="E46" s="9" t="s">
        <v>176</v>
      </c>
      <c r="F46" s="12">
        <v>480</v>
      </c>
      <c r="G46" s="12">
        <v>480</v>
      </c>
      <c r="H46" s="10">
        <v>2281042.2799999998</v>
      </c>
      <c r="I46" s="10">
        <v>551181.39</v>
      </c>
      <c r="J46" s="16">
        <v>0.24163576222708161</v>
      </c>
      <c r="K46" s="12">
        <v>94</v>
      </c>
      <c r="L46" s="16">
        <v>0.1958</v>
      </c>
      <c r="M46" s="12">
        <v>30</v>
      </c>
      <c r="N46" s="16">
        <v>6.25E-2</v>
      </c>
      <c r="O46" s="12">
        <v>0</v>
      </c>
      <c r="P46" s="16">
        <v>0</v>
      </c>
      <c r="Q46" s="12">
        <v>124</v>
      </c>
      <c r="R46" s="15">
        <v>0.25833333333333341</v>
      </c>
    </row>
    <row r="47" spans="1:18" x14ac:dyDescent="0.35">
      <c r="A47" s="6" t="s">
        <v>114</v>
      </c>
      <c r="B47" s="6" t="s">
        <v>180</v>
      </c>
      <c r="C47" s="6" t="s">
        <v>175</v>
      </c>
      <c r="D47" s="17">
        <v>0.25</v>
      </c>
      <c r="E47" s="6" t="s">
        <v>181</v>
      </c>
      <c r="F47" s="13">
        <v>1756</v>
      </c>
      <c r="G47" s="13">
        <v>1756</v>
      </c>
      <c r="H47" s="7">
        <v>1978258</v>
      </c>
      <c r="I47" s="7">
        <v>542407.29</v>
      </c>
      <c r="J47" s="18">
        <v>0.27418430255305432</v>
      </c>
      <c r="K47" s="13">
        <v>346</v>
      </c>
      <c r="L47" s="18">
        <v>0.19700000000000001</v>
      </c>
      <c r="M47" s="13">
        <v>148</v>
      </c>
      <c r="N47" s="18">
        <v>8.43E-2</v>
      </c>
      <c r="O47" s="13">
        <v>0</v>
      </c>
      <c r="P47" s="18">
        <v>0</v>
      </c>
      <c r="Q47" s="13">
        <v>494</v>
      </c>
      <c r="R47" s="17">
        <v>0.28132118451025062</v>
      </c>
    </row>
    <row r="48" spans="1:18" x14ac:dyDescent="0.35">
      <c r="A48" s="9" t="s">
        <v>115</v>
      </c>
      <c r="B48" s="9" t="s">
        <v>180</v>
      </c>
      <c r="C48" s="9" t="s">
        <v>177</v>
      </c>
      <c r="D48" s="15">
        <v>-0.14000000000000001</v>
      </c>
      <c r="E48" s="9" t="s">
        <v>179</v>
      </c>
      <c r="F48" s="12">
        <v>721</v>
      </c>
      <c r="G48" s="12">
        <v>721</v>
      </c>
      <c r="H48" s="10">
        <v>2144760.54</v>
      </c>
      <c r="I48" s="10">
        <v>530548.96</v>
      </c>
      <c r="J48" s="16">
        <v>0.24736978795777359</v>
      </c>
      <c r="K48" s="12">
        <v>123</v>
      </c>
      <c r="L48" s="16">
        <v>0.1706</v>
      </c>
      <c r="M48" s="12">
        <v>65</v>
      </c>
      <c r="N48" s="16">
        <v>9.0200000000000002E-2</v>
      </c>
      <c r="O48" s="12">
        <v>0</v>
      </c>
      <c r="P48" s="16">
        <v>0</v>
      </c>
      <c r="Q48" s="12">
        <v>188</v>
      </c>
      <c r="R48" s="15">
        <v>0.26074895977808599</v>
      </c>
    </row>
    <row r="49" spans="1:18" x14ac:dyDescent="0.35">
      <c r="A49" s="6" t="s">
        <v>115</v>
      </c>
      <c r="B49" s="6" t="s">
        <v>174</v>
      </c>
      <c r="C49" s="6" t="s">
        <v>178</v>
      </c>
      <c r="D49" s="17">
        <v>-0.65</v>
      </c>
      <c r="E49" s="6" t="s">
        <v>181</v>
      </c>
      <c r="F49" s="13">
        <v>1419</v>
      </c>
      <c r="G49" s="13">
        <v>1419</v>
      </c>
      <c r="H49" s="7">
        <v>1553091.13</v>
      </c>
      <c r="I49" s="7">
        <v>359909.33</v>
      </c>
      <c r="J49" s="18">
        <v>0.23173741903992459</v>
      </c>
      <c r="K49" s="13">
        <v>238</v>
      </c>
      <c r="L49" s="18">
        <v>0.16769999999999999</v>
      </c>
      <c r="M49" s="13">
        <v>98</v>
      </c>
      <c r="N49" s="18">
        <v>6.9099999999999995E-2</v>
      </c>
      <c r="O49" s="13">
        <v>0</v>
      </c>
      <c r="P49" s="18">
        <v>0</v>
      </c>
      <c r="Q49" s="13">
        <v>336</v>
      </c>
      <c r="R49" s="17">
        <v>0.2367864693446089</v>
      </c>
    </row>
    <row r="50" spans="1:18" x14ac:dyDescent="0.35">
      <c r="A50" s="9" t="s">
        <v>115</v>
      </c>
      <c r="B50" s="9" t="s">
        <v>180</v>
      </c>
      <c r="C50" s="9" t="s">
        <v>177</v>
      </c>
      <c r="D50" s="15">
        <v>-0.14000000000000001</v>
      </c>
      <c r="E50" s="9" t="s">
        <v>176</v>
      </c>
      <c r="F50" s="12">
        <v>285</v>
      </c>
      <c r="G50" s="12">
        <v>285</v>
      </c>
      <c r="H50" s="10">
        <v>1362062.73</v>
      </c>
      <c r="I50" s="10">
        <v>344896.65</v>
      </c>
      <c r="J50" s="16">
        <v>0.25321642124368238</v>
      </c>
      <c r="K50" s="12">
        <v>54</v>
      </c>
      <c r="L50" s="16">
        <v>0.1895</v>
      </c>
      <c r="M50" s="12">
        <v>21</v>
      </c>
      <c r="N50" s="16">
        <v>7.3700000000000002E-2</v>
      </c>
      <c r="O50" s="12">
        <v>0</v>
      </c>
      <c r="P50" s="16">
        <v>0</v>
      </c>
      <c r="Q50" s="12">
        <v>75</v>
      </c>
      <c r="R50" s="15">
        <v>0.26315789473684209</v>
      </c>
    </row>
    <row r="51" spans="1:18" x14ac:dyDescent="0.35">
      <c r="A51" s="6" t="s">
        <v>114</v>
      </c>
      <c r="B51" s="6" t="s">
        <v>180</v>
      </c>
      <c r="C51" s="6" t="s">
        <v>178</v>
      </c>
      <c r="D51" s="17">
        <v>-0.64</v>
      </c>
      <c r="E51" s="6" t="s">
        <v>176</v>
      </c>
      <c r="F51" s="13">
        <v>317</v>
      </c>
      <c r="G51" s="13">
        <v>317</v>
      </c>
      <c r="H51" s="7">
        <v>1530050.52</v>
      </c>
      <c r="I51" s="7">
        <v>343474.43</v>
      </c>
      <c r="J51" s="18">
        <v>0.22448567907417849</v>
      </c>
      <c r="K51" s="13">
        <v>48</v>
      </c>
      <c r="L51" s="18">
        <v>0.15140000000000001</v>
      </c>
      <c r="M51" s="13">
        <v>25</v>
      </c>
      <c r="N51" s="18">
        <v>7.8899999999999998E-2</v>
      </c>
      <c r="O51" s="13">
        <v>0</v>
      </c>
      <c r="P51" s="18">
        <v>0</v>
      </c>
      <c r="Q51" s="13">
        <v>73</v>
      </c>
      <c r="R51" s="17">
        <v>0.2302839116719243</v>
      </c>
    </row>
    <row r="52" spans="1:18" x14ac:dyDescent="0.35">
      <c r="A52" s="9" t="s">
        <v>115</v>
      </c>
      <c r="B52" s="9" t="s">
        <v>180</v>
      </c>
      <c r="C52" s="9" t="s">
        <v>178</v>
      </c>
      <c r="D52" s="15">
        <v>-0.66</v>
      </c>
      <c r="E52" s="9" t="s">
        <v>179</v>
      </c>
      <c r="F52" s="12">
        <v>416</v>
      </c>
      <c r="G52" s="12">
        <v>416</v>
      </c>
      <c r="H52" s="10">
        <v>1239230.43</v>
      </c>
      <c r="I52" s="10">
        <v>300116.49</v>
      </c>
      <c r="J52" s="16">
        <v>0.24217972923728151</v>
      </c>
      <c r="K52" s="12">
        <v>76</v>
      </c>
      <c r="L52" s="16">
        <v>0.1827</v>
      </c>
      <c r="M52" s="12">
        <v>31</v>
      </c>
      <c r="N52" s="16">
        <v>7.4499999999999997E-2</v>
      </c>
      <c r="O52" s="12">
        <v>0</v>
      </c>
      <c r="P52" s="16">
        <v>0</v>
      </c>
      <c r="Q52" s="12">
        <v>107</v>
      </c>
      <c r="R52" s="15">
        <v>0.25721153846153838</v>
      </c>
    </row>
    <row r="53" spans="1:18" x14ac:dyDescent="0.35">
      <c r="A53" s="6" t="s">
        <v>115</v>
      </c>
      <c r="B53" s="6" t="s">
        <v>180</v>
      </c>
      <c r="C53" s="6" t="s">
        <v>175</v>
      </c>
      <c r="D53" s="17">
        <v>0.27</v>
      </c>
      <c r="E53" s="6" t="s">
        <v>181</v>
      </c>
      <c r="F53" s="13">
        <v>1036</v>
      </c>
      <c r="G53" s="13">
        <v>1036</v>
      </c>
      <c r="H53" s="7">
        <v>1148574.04</v>
      </c>
      <c r="I53" s="7">
        <v>283368.90000000002</v>
      </c>
      <c r="J53" s="18">
        <v>0.24671365548188781</v>
      </c>
      <c r="K53" s="13">
        <v>175</v>
      </c>
      <c r="L53" s="18">
        <v>0.16889999999999999</v>
      </c>
      <c r="M53" s="13">
        <v>96</v>
      </c>
      <c r="N53" s="18">
        <v>9.2699999999999991E-2</v>
      </c>
      <c r="O53" s="13">
        <v>0</v>
      </c>
      <c r="P53" s="18">
        <v>0</v>
      </c>
      <c r="Q53" s="13">
        <v>271</v>
      </c>
      <c r="R53" s="17">
        <v>0.26158301158301162</v>
      </c>
    </row>
    <row r="54" spans="1:18" x14ac:dyDescent="0.35">
      <c r="A54" s="9" t="s">
        <v>114</v>
      </c>
      <c r="B54" s="9" t="s">
        <v>180</v>
      </c>
      <c r="C54" s="9" t="s">
        <v>177</v>
      </c>
      <c r="D54" s="15">
        <v>-0.13</v>
      </c>
      <c r="E54" s="9" t="s">
        <v>181</v>
      </c>
      <c r="F54" s="12">
        <v>977</v>
      </c>
      <c r="G54" s="12">
        <v>977</v>
      </c>
      <c r="H54" s="10">
        <v>1042343.74</v>
      </c>
      <c r="I54" s="10">
        <v>281397.37</v>
      </c>
      <c r="J54" s="16">
        <v>0.26996599989174402</v>
      </c>
      <c r="K54" s="12">
        <v>185</v>
      </c>
      <c r="L54" s="16">
        <v>0.18940000000000001</v>
      </c>
      <c r="M54" s="12">
        <v>75</v>
      </c>
      <c r="N54" s="16">
        <v>7.6799999999999993E-2</v>
      </c>
      <c r="O54" s="12">
        <v>0</v>
      </c>
      <c r="P54" s="16">
        <v>0</v>
      </c>
      <c r="Q54" s="12">
        <v>260</v>
      </c>
      <c r="R54" s="15">
        <v>0.26612077789150462</v>
      </c>
    </row>
    <row r="55" spans="1:18" x14ac:dyDescent="0.35">
      <c r="A55" s="6" t="s">
        <v>104</v>
      </c>
      <c r="B55" s="6" t="s">
        <v>180</v>
      </c>
      <c r="C55" s="6" t="s">
        <v>178</v>
      </c>
      <c r="D55" s="17">
        <v>-0.65</v>
      </c>
      <c r="E55" s="6" t="s">
        <v>181</v>
      </c>
      <c r="F55" s="13">
        <v>1137</v>
      </c>
      <c r="G55" s="13">
        <v>1137</v>
      </c>
      <c r="H55" s="7">
        <v>1196736.31</v>
      </c>
      <c r="I55" s="7">
        <v>255797.6</v>
      </c>
      <c r="J55" s="18">
        <v>0.21374600057050161</v>
      </c>
      <c r="K55" s="13">
        <v>189</v>
      </c>
      <c r="L55" s="18">
        <v>0.16619999999999999</v>
      </c>
      <c r="M55" s="13">
        <v>74</v>
      </c>
      <c r="N55" s="18">
        <v>6.5099999999999991E-2</v>
      </c>
      <c r="O55" s="13">
        <v>0</v>
      </c>
      <c r="P55" s="18">
        <v>0</v>
      </c>
      <c r="Q55" s="13">
        <v>263</v>
      </c>
      <c r="R55" s="17">
        <v>0.2313104661389622</v>
      </c>
    </row>
    <row r="56" spans="1:18" x14ac:dyDescent="0.35">
      <c r="A56" s="9" t="s">
        <v>115</v>
      </c>
      <c r="B56" s="9" t="s">
        <v>180</v>
      </c>
      <c r="C56" s="9" t="s">
        <v>178</v>
      </c>
      <c r="D56" s="15">
        <v>-0.65</v>
      </c>
      <c r="E56" s="9" t="s">
        <v>176</v>
      </c>
      <c r="F56" s="12">
        <v>159</v>
      </c>
      <c r="G56" s="12">
        <v>159</v>
      </c>
      <c r="H56" s="10">
        <v>766853.72</v>
      </c>
      <c r="I56" s="10">
        <v>208749.8</v>
      </c>
      <c r="J56" s="16">
        <v>0.27221593187290011</v>
      </c>
      <c r="K56" s="12">
        <v>33</v>
      </c>
      <c r="L56" s="16">
        <v>0.20749999999999999</v>
      </c>
      <c r="M56" s="12">
        <v>12</v>
      </c>
      <c r="N56" s="16">
        <v>7.5499999999999998E-2</v>
      </c>
      <c r="O56" s="12">
        <v>0</v>
      </c>
      <c r="P56" s="16">
        <v>0</v>
      </c>
      <c r="Q56" s="12">
        <v>45</v>
      </c>
      <c r="R56" s="15">
        <v>0.28301886792452829</v>
      </c>
    </row>
    <row r="57" spans="1:18" x14ac:dyDescent="0.35">
      <c r="A57" s="6" t="s">
        <v>115</v>
      </c>
      <c r="B57" s="6" t="s">
        <v>180</v>
      </c>
      <c r="C57" s="6" t="s">
        <v>177</v>
      </c>
      <c r="D57" s="17">
        <v>-0.13</v>
      </c>
      <c r="E57" s="6" t="s">
        <v>181</v>
      </c>
      <c r="F57" s="13">
        <v>551</v>
      </c>
      <c r="G57" s="13">
        <v>551</v>
      </c>
      <c r="H57" s="7">
        <v>595689.01</v>
      </c>
      <c r="I57" s="7">
        <v>167013.68</v>
      </c>
      <c r="J57" s="18">
        <v>0.28037059135940751</v>
      </c>
      <c r="K57" s="13">
        <v>107</v>
      </c>
      <c r="L57" s="18">
        <v>0.19420000000000001</v>
      </c>
      <c r="M57" s="13">
        <v>52</v>
      </c>
      <c r="N57" s="18">
        <v>9.4399999999999998E-2</v>
      </c>
      <c r="O57" s="13">
        <v>0</v>
      </c>
      <c r="P57" s="18">
        <v>0</v>
      </c>
      <c r="Q57" s="13">
        <v>159</v>
      </c>
      <c r="R57" s="17">
        <v>0.28856624319419238</v>
      </c>
    </row>
    <row r="58" spans="1:18" x14ac:dyDescent="0.35">
      <c r="A58" s="9" t="s">
        <v>114</v>
      </c>
      <c r="B58" s="9" t="s">
        <v>180</v>
      </c>
      <c r="C58" s="9" t="s">
        <v>178</v>
      </c>
      <c r="D58" s="15">
        <v>-0.65</v>
      </c>
      <c r="E58" s="9" t="s">
        <v>181</v>
      </c>
      <c r="F58" s="12">
        <v>605</v>
      </c>
      <c r="G58" s="12">
        <v>605</v>
      </c>
      <c r="H58" s="10">
        <v>636419.42000000004</v>
      </c>
      <c r="I58" s="10">
        <v>143498.23999999999</v>
      </c>
      <c r="J58" s="16">
        <v>0.22547746893078779</v>
      </c>
      <c r="K58" s="12">
        <v>96</v>
      </c>
      <c r="L58" s="16">
        <v>0.15870000000000001</v>
      </c>
      <c r="M58" s="12">
        <v>49</v>
      </c>
      <c r="N58" s="16">
        <v>8.1000000000000003E-2</v>
      </c>
      <c r="O58" s="12">
        <v>0</v>
      </c>
      <c r="P58" s="16">
        <v>0</v>
      </c>
      <c r="Q58" s="12">
        <v>145</v>
      </c>
      <c r="R58" s="15">
        <v>0.23966942148760331</v>
      </c>
    </row>
    <row r="59" spans="1:18" x14ac:dyDescent="0.35">
      <c r="A59" s="6" t="s">
        <v>115</v>
      </c>
      <c r="B59" s="6" t="s">
        <v>180</v>
      </c>
      <c r="C59" s="6" t="s">
        <v>178</v>
      </c>
      <c r="D59" s="17">
        <v>-0.67</v>
      </c>
      <c r="E59" s="6" t="s">
        <v>181</v>
      </c>
      <c r="F59" s="13">
        <v>296</v>
      </c>
      <c r="G59" s="13">
        <v>296</v>
      </c>
      <c r="H59" s="7">
        <v>305371.37</v>
      </c>
      <c r="I59" s="7">
        <v>81275.429999999993</v>
      </c>
      <c r="J59" s="18">
        <v>0.26615275033805558</v>
      </c>
      <c r="K59" s="13">
        <v>62</v>
      </c>
      <c r="L59" s="18">
        <v>0.20949999999999999</v>
      </c>
      <c r="M59" s="13">
        <v>25</v>
      </c>
      <c r="N59" s="18">
        <v>8.4499999999999992E-2</v>
      </c>
      <c r="O59" s="13">
        <v>0</v>
      </c>
      <c r="P59" s="18">
        <v>0</v>
      </c>
      <c r="Q59" s="13">
        <v>87</v>
      </c>
      <c r="R59" s="17">
        <v>0.29391891891891891</v>
      </c>
    </row>
    <row r="60" spans="1:18" x14ac:dyDescent="0.35">
      <c r="A60" s="19" t="s">
        <v>116</v>
      </c>
      <c r="B60" s="19"/>
      <c r="C60" s="19"/>
      <c r="D60" s="20">
        <f>AVERAGE(D6:D59)</f>
        <v>-0.1725925925925926</v>
      </c>
      <c r="E60" s="19"/>
      <c r="F60" s="21">
        <f>SUM(F6:F59)</f>
        <v>200000</v>
      </c>
      <c r="G60" s="21">
        <f>SUM(G6:G59)</f>
        <v>200000</v>
      </c>
      <c r="H60" s="23">
        <f>SUM(H6:H59)</f>
        <v>686899897.11999965</v>
      </c>
      <c r="I60" s="23">
        <f>SUM(I6:I59)</f>
        <v>290163887.37</v>
      </c>
      <c r="J60" s="22">
        <f>I60/H60</f>
        <v>0.42242528873069424</v>
      </c>
      <c r="K60" s="21">
        <f>SUM(K6:K59)</f>
        <v>36127</v>
      </c>
      <c r="L60" s="22">
        <f>K60/F60</f>
        <v>0.18063499999999999</v>
      </c>
      <c r="M60" s="21">
        <f>SUM(M6:M59)</f>
        <v>15996</v>
      </c>
      <c r="N60" s="22">
        <f>M60/F60</f>
        <v>7.9979999999999996E-2</v>
      </c>
      <c r="O60" s="21">
        <f>SUM(O6:O59)</f>
        <v>1087</v>
      </c>
      <c r="P60" s="22">
        <f>O60/F60</f>
        <v>5.4349999999999997E-3</v>
      </c>
      <c r="Q60" s="21">
        <f>SUM(Q6:Q59)</f>
        <v>53210</v>
      </c>
      <c r="R60" s="20">
        <f>Q60/F60</f>
        <v>0.26605000000000001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0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67" customWidth="1"/>
    <col min="2" max="2" width="21" customWidth="1"/>
    <col min="3" max="3" width="32" customWidth="1"/>
    <col min="4" max="4" width="24" customWidth="1"/>
    <col min="5" max="5" width="27" customWidth="1"/>
    <col min="6" max="6" width="25" customWidth="1"/>
    <col min="7" max="7" width="30" customWidth="1"/>
    <col min="8" max="9" width="25" customWidth="1"/>
    <col min="10" max="10" width="32" customWidth="1"/>
    <col min="11" max="11" width="39" customWidth="1"/>
    <col min="12" max="12" width="29" customWidth="1"/>
    <col min="13" max="13" width="28" customWidth="1"/>
    <col min="14" max="14" width="32" customWidth="1"/>
    <col min="15" max="15" width="34" customWidth="1"/>
    <col min="16" max="16" width="32" customWidth="1"/>
    <col min="17" max="17" width="34" customWidth="1"/>
    <col min="18" max="18" width="30" customWidth="1"/>
  </cols>
  <sheetData>
    <row r="1" spans="1:18" ht="16.5" x14ac:dyDescent="0.35">
      <c r="A1" s="14" t="s">
        <v>182</v>
      </c>
    </row>
    <row r="2" spans="1:18" x14ac:dyDescent="0.35">
      <c r="A2" s="2" t="s">
        <v>183</v>
      </c>
    </row>
    <row r="3" spans="1:18" x14ac:dyDescent="0.35">
      <c r="A3" s="3" t="s">
        <v>184</v>
      </c>
    </row>
    <row r="5" spans="1:18" x14ac:dyDescent="0.35">
      <c r="A5" s="5" t="s">
        <v>87</v>
      </c>
      <c r="B5" s="5" t="s">
        <v>185</v>
      </c>
      <c r="C5" s="5" t="s">
        <v>186</v>
      </c>
      <c r="D5" s="5" t="s">
        <v>187</v>
      </c>
      <c r="E5" s="5" t="s">
        <v>188</v>
      </c>
      <c r="F5" s="5" t="s">
        <v>189</v>
      </c>
      <c r="G5" s="5" t="s">
        <v>190</v>
      </c>
      <c r="H5" s="5" t="s">
        <v>191</v>
      </c>
      <c r="I5" s="5" t="s">
        <v>192</v>
      </c>
      <c r="J5" s="5" t="s">
        <v>193</v>
      </c>
      <c r="K5" s="5" t="s">
        <v>194</v>
      </c>
      <c r="L5" s="5" t="s">
        <v>97</v>
      </c>
      <c r="M5" s="5" t="s">
        <v>98</v>
      </c>
      <c r="N5" s="5" t="s">
        <v>99</v>
      </c>
      <c r="O5" s="5" t="s">
        <v>195</v>
      </c>
      <c r="P5" s="5" t="s">
        <v>75</v>
      </c>
      <c r="Q5" s="5" t="s">
        <v>100</v>
      </c>
      <c r="R5" s="5" t="s">
        <v>196</v>
      </c>
    </row>
    <row r="6" spans="1:18" x14ac:dyDescent="0.35">
      <c r="A6" s="9" t="s">
        <v>104</v>
      </c>
      <c r="B6" s="9" t="s">
        <v>197</v>
      </c>
      <c r="C6" s="9" t="s">
        <v>198</v>
      </c>
      <c r="D6" s="15">
        <v>49.65</v>
      </c>
      <c r="E6" s="9" t="s">
        <v>199</v>
      </c>
      <c r="F6" s="12">
        <v>26323</v>
      </c>
      <c r="G6" s="12">
        <v>0</v>
      </c>
      <c r="H6" s="16">
        <v>0</v>
      </c>
      <c r="I6" s="12">
        <v>0</v>
      </c>
      <c r="J6" s="12">
        <v>0</v>
      </c>
      <c r="K6" s="16">
        <v>0</v>
      </c>
      <c r="L6" s="10">
        <v>104225067.14</v>
      </c>
      <c r="M6" s="10">
        <v>63692540.590000004</v>
      </c>
      <c r="N6" s="10">
        <v>40532526.549999997</v>
      </c>
      <c r="O6" s="16">
        <v>7.9299999999999995E-2</v>
      </c>
      <c r="P6" s="16">
        <v>0.38889422345542662</v>
      </c>
      <c r="Q6" s="16">
        <v>0.61110577654457343</v>
      </c>
      <c r="R6" s="10">
        <v>3959.47</v>
      </c>
    </row>
    <row r="7" spans="1:18" x14ac:dyDescent="0.35">
      <c r="A7" s="6" t="s">
        <v>104</v>
      </c>
      <c r="B7" s="6" t="s">
        <v>200</v>
      </c>
      <c r="C7" s="6" t="s">
        <v>198</v>
      </c>
      <c r="D7" s="17">
        <v>49.7</v>
      </c>
      <c r="E7" s="6" t="s">
        <v>199</v>
      </c>
      <c r="F7" s="13">
        <v>19454</v>
      </c>
      <c r="G7" s="13">
        <v>0</v>
      </c>
      <c r="H7" s="18">
        <v>0</v>
      </c>
      <c r="I7" s="13">
        <v>0</v>
      </c>
      <c r="J7" s="13">
        <v>0</v>
      </c>
      <c r="K7" s="18">
        <v>0</v>
      </c>
      <c r="L7" s="7">
        <v>83628259.909999996</v>
      </c>
      <c r="M7" s="7">
        <v>46860286.409999996</v>
      </c>
      <c r="N7" s="7">
        <v>36767973.5</v>
      </c>
      <c r="O7" s="18">
        <v>8.3699999999999997E-2</v>
      </c>
      <c r="P7" s="18">
        <v>0.43965967412892931</v>
      </c>
      <c r="Q7" s="18">
        <v>0.56034032587107074</v>
      </c>
      <c r="R7" s="7">
        <v>4298.7700000000004</v>
      </c>
    </row>
    <row r="8" spans="1:18" x14ac:dyDescent="0.35">
      <c r="A8" s="9" t="s">
        <v>104</v>
      </c>
      <c r="B8" s="9" t="s">
        <v>197</v>
      </c>
      <c r="C8" s="9" t="s">
        <v>201</v>
      </c>
      <c r="D8" s="15">
        <v>19.23</v>
      </c>
      <c r="E8" s="9" t="s">
        <v>199</v>
      </c>
      <c r="F8" s="12">
        <v>21339</v>
      </c>
      <c r="G8" s="12">
        <v>0</v>
      </c>
      <c r="H8" s="16">
        <v>0</v>
      </c>
      <c r="I8" s="12">
        <v>0</v>
      </c>
      <c r="J8" s="12">
        <v>0</v>
      </c>
      <c r="K8" s="16">
        <v>0</v>
      </c>
      <c r="L8" s="10">
        <v>82702444.650000006</v>
      </c>
      <c r="M8" s="10">
        <v>51887397.979999997</v>
      </c>
      <c r="N8" s="10">
        <v>30815046.670000002</v>
      </c>
      <c r="O8" s="16">
        <v>7.8200000000000006E-2</v>
      </c>
      <c r="P8" s="16">
        <v>0.37260140012076409</v>
      </c>
      <c r="Q8" s="16">
        <v>0.62739859987923574</v>
      </c>
      <c r="R8" s="10">
        <v>3875.65</v>
      </c>
    </row>
    <row r="9" spans="1:18" x14ac:dyDescent="0.35">
      <c r="A9" s="6" t="s">
        <v>104</v>
      </c>
      <c r="B9" s="6" t="s">
        <v>200</v>
      </c>
      <c r="C9" s="6" t="s">
        <v>201</v>
      </c>
      <c r="D9" s="17">
        <v>19.3</v>
      </c>
      <c r="E9" s="6" t="s">
        <v>199</v>
      </c>
      <c r="F9" s="13">
        <v>15725</v>
      </c>
      <c r="G9" s="13">
        <v>0</v>
      </c>
      <c r="H9" s="18">
        <v>0</v>
      </c>
      <c r="I9" s="13">
        <v>0</v>
      </c>
      <c r="J9" s="13">
        <v>0</v>
      </c>
      <c r="K9" s="18">
        <v>0</v>
      </c>
      <c r="L9" s="7">
        <v>62444430.469999999</v>
      </c>
      <c r="M9" s="7">
        <v>38422049.859999999</v>
      </c>
      <c r="N9" s="7">
        <v>24022380.609999999</v>
      </c>
      <c r="O9" s="18">
        <v>7.8899999999999998E-2</v>
      </c>
      <c r="P9" s="18">
        <v>0.38470013144792792</v>
      </c>
      <c r="Q9" s="18">
        <v>0.61529986855207197</v>
      </c>
      <c r="R9" s="7">
        <v>3971.03</v>
      </c>
    </row>
    <row r="10" spans="1:18" x14ac:dyDescent="0.35">
      <c r="A10" s="9" t="s">
        <v>104</v>
      </c>
      <c r="B10" s="9" t="s">
        <v>202</v>
      </c>
      <c r="C10" s="9" t="s">
        <v>198</v>
      </c>
      <c r="D10" s="15">
        <v>49.55</v>
      </c>
      <c r="E10" s="9" t="s">
        <v>199</v>
      </c>
      <c r="F10" s="12">
        <v>7523</v>
      </c>
      <c r="G10" s="12">
        <v>0</v>
      </c>
      <c r="H10" s="16">
        <v>0</v>
      </c>
      <c r="I10" s="12">
        <v>0</v>
      </c>
      <c r="J10" s="12">
        <v>0</v>
      </c>
      <c r="K10" s="16">
        <v>0</v>
      </c>
      <c r="L10" s="10">
        <v>32556156.800000001</v>
      </c>
      <c r="M10" s="10">
        <v>18188567.120000001</v>
      </c>
      <c r="N10" s="10">
        <v>14367589.68</v>
      </c>
      <c r="O10" s="16">
        <v>8.2299999999999998E-2</v>
      </c>
      <c r="P10" s="16">
        <v>0.44131712991381089</v>
      </c>
      <c r="Q10" s="16">
        <v>0.55868287008618911</v>
      </c>
      <c r="R10" s="10">
        <v>4327.55</v>
      </c>
    </row>
    <row r="11" spans="1:18" x14ac:dyDescent="0.35">
      <c r="A11" s="6" t="s">
        <v>114</v>
      </c>
      <c r="B11" s="6" t="s">
        <v>197</v>
      </c>
      <c r="C11" s="6" t="s">
        <v>198</v>
      </c>
      <c r="D11" s="17">
        <v>49.17</v>
      </c>
      <c r="E11" s="6" t="s">
        <v>199</v>
      </c>
      <c r="F11" s="13">
        <v>12018</v>
      </c>
      <c r="G11" s="13">
        <v>0</v>
      </c>
      <c r="H11" s="18">
        <v>0</v>
      </c>
      <c r="I11" s="13">
        <v>0</v>
      </c>
      <c r="J11" s="13">
        <v>0</v>
      </c>
      <c r="K11" s="18">
        <v>0</v>
      </c>
      <c r="L11" s="7">
        <v>31438596.550000001</v>
      </c>
      <c r="M11" s="7">
        <v>29029205.710000001</v>
      </c>
      <c r="N11" s="7">
        <v>2409390.84</v>
      </c>
      <c r="O11" s="18">
        <v>7.85E-2</v>
      </c>
      <c r="P11" s="18">
        <v>7.6637989745124285E-2</v>
      </c>
      <c r="Q11" s="18">
        <v>0.92336201025487563</v>
      </c>
      <c r="R11" s="7">
        <v>2615.96</v>
      </c>
    </row>
    <row r="12" spans="1:18" x14ac:dyDescent="0.35">
      <c r="A12" s="9" t="s">
        <v>104</v>
      </c>
      <c r="B12" s="9" t="s">
        <v>203</v>
      </c>
      <c r="C12" s="9" t="s">
        <v>198</v>
      </c>
      <c r="D12" s="15">
        <v>49.35</v>
      </c>
      <c r="E12" s="9" t="s">
        <v>199</v>
      </c>
      <c r="F12" s="12">
        <v>6971</v>
      </c>
      <c r="G12" s="12">
        <v>0</v>
      </c>
      <c r="H12" s="16">
        <v>0</v>
      </c>
      <c r="I12" s="12">
        <v>0</v>
      </c>
      <c r="J12" s="12">
        <v>0</v>
      </c>
      <c r="K12" s="16">
        <v>0</v>
      </c>
      <c r="L12" s="10">
        <v>27715331.02</v>
      </c>
      <c r="M12" s="10">
        <v>16970829.760000002</v>
      </c>
      <c r="N12" s="10">
        <v>10744501.26</v>
      </c>
      <c r="O12" s="16">
        <v>8.1099999999999992E-2</v>
      </c>
      <c r="P12" s="16">
        <v>0.38767356782592738</v>
      </c>
      <c r="Q12" s="16">
        <v>0.61232643217407268</v>
      </c>
      <c r="R12" s="10">
        <v>3975.8</v>
      </c>
    </row>
    <row r="13" spans="1:18" x14ac:dyDescent="0.35">
      <c r="A13" s="6" t="s">
        <v>114</v>
      </c>
      <c r="B13" s="6" t="s">
        <v>197</v>
      </c>
      <c r="C13" s="6" t="s">
        <v>201</v>
      </c>
      <c r="D13" s="17">
        <v>19.34</v>
      </c>
      <c r="E13" s="6" t="s">
        <v>199</v>
      </c>
      <c r="F13" s="13">
        <v>9907</v>
      </c>
      <c r="G13" s="13">
        <v>0</v>
      </c>
      <c r="H13" s="18">
        <v>0</v>
      </c>
      <c r="I13" s="13">
        <v>0</v>
      </c>
      <c r="J13" s="13">
        <v>0</v>
      </c>
      <c r="K13" s="18">
        <v>0</v>
      </c>
      <c r="L13" s="7">
        <v>26084320.57</v>
      </c>
      <c r="M13" s="7">
        <v>24172090.609999999</v>
      </c>
      <c r="N13" s="7">
        <v>1912229.96</v>
      </c>
      <c r="O13" s="18">
        <v>7.17E-2</v>
      </c>
      <c r="P13" s="18">
        <v>7.3309556017314342E-2</v>
      </c>
      <c r="Q13" s="18">
        <v>0.92669044398268563</v>
      </c>
      <c r="R13" s="7">
        <v>2632.92</v>
      </c>
    </row>
    <row r="14" spans="1:18" x14ac:dyDescent="0.35">
      <c r="A14" s="9" t="s">
        <v>114</v>
      </c>
      <c r="B14" s="9" t="s">
        <v>200</v>
      </c>
      <c r="C14" s="9" t="s">
        <v>198</v>
      </c>
      <c r="D14" s="15">
        <v>49.63</v>
      </c>
      <c r="E14" s="9" t="s">
        <v>199</v>
      </c>
      <c r="F14" s="12">
        <v>9111</v>
      </c>
      <c r="G14" s="12">
        <v>0</v>
      </c>
      <c r="H14" s="16">
        <v>0</v>
      </c>
      <c r="I14" s="12">
        <v>0</v>
      </c>
      <c r="J14" s="12">
        <v>0</v>
      </c>
      <c r="K14" s="16">
        <v>0</v>
      </c>
      <c r="L14" s="10">
        <v>23833315.84</v>
      </c>
      <c r="M14" s="10">
        <v>21867414.170000002</v>
      </c>
      <c r="N14" s="10">
        <v>1965901.67</v>
      </c>
      <c r="O14" s="16">
        <v>8.3100000000000007E-2</v>
      </c>
      <c r="P14" s="16">
        <v>8.2485445298407956E-2</v>
      </c>
      <c r="Q14" s="16">
        <v>0.91751455470159216</v>
      </c>
      <c r="R14" s="10">
        <v>2615.88</v>
      </c>
    </row>
    <row r="15" spans="1:18" x14ac:dyDescent="0.35">
      <c r="A15" s="6" t="s">
        <v>104</v>
      </c>
      <c r="B15" s="6" t="s">
        <v>202</v>
      </c>
      <c r="C15" s="6" t="s">
        <v>201</v>
      </c>
      <c r="D15" s="17">
        <v>19.21</v>
      </c>
      <c r="E15" s="6" t="s">
        <v>199</v>
      </c>
      <c r="F15" s="13">
        <v>5964</v>
      </c>
      <c r="G15" s="13">
        <v>0</v>
      </c>
      <c r="H15" s="18">
        <v>0</v>
      </c>
      <c r="I15" s="13">
        <v>0</v>
      </c>
      <c r="J15" s="13">
        <v>0</v>
      </c>
      <c r="K15" s="18">
        <v>0</v>
      </c>
      <c r="L15" s="7">
        <v>23617447.73</v>
      </c>
      <c r="M15" s="7">
        <v>14584388.6</v>
      </c>
      <c r="N15" s="7">
        <v>9033059.1300000008</v>
      </c>
      <c r="O15" s="18">
        <v>7.980000000000001E-2</v>
      </c>
      <c r="P15" s="18">
        <v>0.38247397573471842</v>
      </c>
      <c r="Q15" s="18">
        <v>0.61752602426528158</v>
      </c>
      <c r="R15" s="7">
        <v>3960</v>
      </c>
    </row>
    <row r="16" spans="1:18" x14ac:dyDescent="0.35">
      <c r="A16" s="9" t="s">
        <v>104</v>
      </c>
      <c r="B16" s="9" t="s">
        <v>203</v>
      </c>
      <c r="C16" s="9" t="s">
        <v>201</v>
      </c>
      <c r="D16" s="15">
        <v>19.239999999999998</v>
      </c>
      <c r="E16" s="9" t="s">
        <v>199</v>
      </c>
      <c r="F16" s="12">
        <v>5494</v>
      </c>
      <c r="G16" s="12">
        <v>0</v>
      </c>
      <c r="H16" s="16">
        <v>0</v>
      </c>
      <c r="I16" s="12">
        <v>0</v>
      </c>
      <c r="J16" s="12">
        <v>0</v>
      </c>
      <c r="K16" s="16">
        <v>0</v>
      </c>
      <c r="L16" s="10">
        <v>21167715.780000001</v>
      </c>
      <c r="M16" s="10">
        <v>13317153.189999999</v>
      </c>
      <c r="N16" s="10">
        <v>7850562.5899999999</v>
      </c>
      <c r="O16" s="16">
        <v>7.46E-2</v>
      </c>
      <c r="P16" s="16">
        <v>0.37087433861982821</v>
      </c>
      <c r="Q16" s="16">
        <v>0.62912566138017179</v>
      </c>
      <c r="R16" s="10">
        <v>3852.88</v>
      </c>
    </row>
    <row r="17" spans="1:18" x14ac:dyDescent="0.35">
      <c r="A17" s="6" t="s">
        <v>114</v>
      </c>
      <c r="B17" s="6" t="s">
        <v>200</v>
      </c>
      <c r="C17" s="6" t="s">
        <v>201</v>
      </c>
      <c r="D17" s="17">
        <v>19.34</v>
      </c>
      <c r="E17" s="6" t="s">
        <v>199</v>
      </c>
      <c r="F17" s="13">
        <v>7183</v>
      </c>
      <c r="G17" s="13">
        <v>0</v>
      </c>
      <c r="H17" s="18">
        <v>0</v>
      </c>
      <c r="I17" s="13">
        <v>0</v>
      </c>
      <c r="J17" s="13">
        <v>0</v>
      </c>
      <c r="K17" s="18">
        <v>0</v>
      </c>
      <c r="L17" s="7">
        <v>18827678.75</v>
      </c>
      <c r="M17" s="7">
        <v>17430288.82</v>
      </c>
      <c r="N17" s="7">
        <v>1397389.93</v>
      </c>
      <c r="O17" s="18">
        <v>7.6799999999999993E-2</v>
      </c>
      <c r="P17" s="18">
        <v>7.4219979454450802E-2</v>
      </c>
      <c r="Q17" s="18">
        <v>0.9257800205455492</v>
      </c>
      <c r="R17" s="7">
        <v>2621.14</v>
      </c>
    </row>
    <row r="18" spans="1:18" x14ac:dyDescent="0.35">
      <c r="A18" s="9" t="s">
        <v>115</v>
      </c>
      <c r="B18" s="9" t="s">
        <v>197</v>
      </c>
      <c r="C18" s="9" t="s">
        <v>198</v>
      </c>
      <c r="D18" s="15">
        <v>49.55</v>
      </c>
      <c r="E18" s="9" t="s">
        <v>199</v>
      </c>
      <c r="F18" s="12">
        <v>6845</v>
      </c>
      <c r="G18" s="12">
        <v>0</v>
      </c>
      <c r="H18" s="16">
        <v>0</v>
      </c>
      <c r="I18" s="12">
        <v>0</v>
      </c>
      <c r="J18" s="12">
        <v>0</v>
      </c>
      <c r="K18" s="16">
        <v>0</v>
      </c>
      <c r="L18" s="10">
        <v>17821662.399999999</v>
      </c>
      <c r="M18" s="10">
        <v>16367854.189999999</v>
      </c>
      <c r="N18" s="10">
        <v>1453808.21</v>
      </c>
      <c r="O18" s="16">
        <v>8.1699999999999995E-2</v>
      </c>
      <c r="P18" s="16">
        <v>8.1575342264366982E-2</v>
      </c>
      <c r="Q18" s="16">
        <v>0.91842465773563309</v>
      </c>
      <c r="R18" s="10">
        <v>2603.6</v>
      </c>
    </row>
    <row r="19" spans="1:18" x14ac:dyDescent="0.35">
      <c r="A19" s="6" t="s">
        <v>115</v>
      </c>
      <c r="B19" s="6" t="s">
        <v>197</v>
      </c>
      <c r="C19" s="6" t="s">
        <v>201</v>
      </c>
      <c r="D19" s="17">
        <v>19.440000000000001</v>
      </c>
      <c r="E19" s="6" t="s">
        <v>199</v>
      </c>
      <c r="F19" s="13">
        <v>5467</v>
      </c>
      <c r="G19" s="13">
        <v>0</v>
      </c>
      <c r="H19" s="18">
        <v>0</v>
      </c>
      <c r="I19" s="13">
        <v>0</v>
      </c>
      <c r="J19" s="13">
        <v>0</v>
      </c>
      <c r="K19" s="18">
        <v>0</v>
      </c>
      <c r="L19" s="7">
        <v>14437318.060000001</v>
      </c>
      <c r="M19" s="7">
        <v>13259919.26</v>
      </c>
      <c r="N19" s="7">
        <v>1177398.8</v>
      </c>
      <c r="O19" s="18">
        <v>8.2100000000000006E-2</v>
      </c>
      <c r="P19" s="18">
        <v>8.1552459750962911E-2</v>
      </c>
      <c r="Q19" s="18">
        <v>0.91844754024903708</v>
      </c>
      <c r="R19" s="7">
        <v>2640.81</v>
      </c>
    </row>
    <row r="20" spans="1:18" x14ac:dyDescent="0.35">
      <c r="A20" s="9" t="s">
        <v>115</v>
      </c>
      <c r="B20" s="9" t="s">
        <v>200</v>
      </c>
      <c r="C20" s="9" t="s">
        <v>198</v>
      </c>
      <c r="D20" s="15">
        <v>49.49</v>
      </c>
      <c r="E20" s="9" t="s">
        <v>199</v>
      </c>
      <c r="F20" s="12">
        <v>5219</v>
      </c>
      <c r="G20" s="12">
        <v>0</v>
      </c>
      <c r="H20" s="16">
        <v>0</v>
      </c>
      <c r="I20" s="12">
        <v>0</v>
      </c>
      <c r="J20" s="12">
        <v>0</v>
      </c>
      <c r="K20" s="16">
        <v>0</v>
      </c>
      <c r="L20" s="10">
        <v>13652150.52</v>
      </c>
      <c r="M20" s="10">
        <v>12610725.210000001</v>
      </c>
      <c r="N20" s="10">
        <v>1041425.31</v>
      </c>
      <c r="O20" s="16">
        <v>7.9699999999999993E-2</v>
      </c>
      <c r="P20" s="16">
        <v>7.6282876347894241E-2</v>
      </c>
      <c r="Q20" s="16">
        <v>0.92371712365210579</v>
      </c>
      <c r="R20" s="10">
        <v>2615.86</v>
      </c>
    </row>
    <row r="21" spans="1:18" x14ac:dyDescent="0.35">
      <c r="A21" s="6" t="s">
        <v>115</v>
      </c>
      <c r="B21" s="6" t="s">
        <v>200</v>
      </c>
      <c r="C21" s="6" t="s">
        <v>201</v>
      </c>
      <c r="D21" s="17">
        <v>19.38</v>
      </c>
      <c r="E21" s="6" t="s">
        <v>199</v>
      </c>
      <c r="F21" s="13">
        <v>4096</v>
      </c>
      <c r="G21" s="13">
        <v>0</v>
      </c>
      <c r="H21" s="18">
        <v>0</v>
      </c>
      <c r="I21" s="13">
        <v>0</v>
      </c>
      <c r="J21" s="13">
        <v>0</v>
      </c>
      <c r="K21" s="18">
        <v>0</v>
      </c>
      <c r="L21" s="7">
        <v>10842513.439999999</v>
      </c>
      <c r="M21" s="7">
        <v>9909857.7400000002</v>
      </c>
      <c r="N21" s="7">
        <v>932655.7</v>
      </c>
      <c r="O21" s="18">
        <v>8.5199999999999998E-2</v>
      </c>
      <c r="P21" s="18">
        <v>8.6018403865589302E-2</v>
      </c>
      <c r="Q21" s="18">
        <v>0.91398159613441077</v>
      </c>
      <c r="R21" s="7">
        <v>2647.1</v>
      </c>
    </row>
    <row r="22" spans="1:18" x14ac:dyDescent="0.35">
      <c r="A22" s="9" t="s">
        <v>114</v>
      </c>
      <c r="B22" s="9" t="s">
        <v>202</v>
      </c>
      <c r="C22" s="9" t="s">
        <v>198</v>
      </c>
      <c r="D22" s="15">
        <v>49.41</v>
      </c>
      <c r="E22" s="9" t="s">
        <v>199</v>
      </c>
      <c r="F22" s="12">
        <v>3538</v>
      </c>
      <c r="G22" s="12">
        <v>0</v>
      </c>
      <c r="H22" s="16">
        <v>0</v>
      </c>
      <c r="I22" s="12">
        <v>0</v>
      </c>
      <c r="J22" s="12">
        <v>0</v>
      </c>
      <c r="K22" s="16">
        <v>0</v>
      </c>
      <c r="L22" s="10">
        <v>9290938.5099999998</v>
      </c>
      <c r="M22" s="10">
        <v>8556197.9499999993</v>
      </c>
      <c r="N22" s="10">
        <v>734740.56</v>
      </c>
      <c r="O22" s="16">
        <v>7.690000000000001E-2</v>
      </c>
      <c r="P22" s="16">
        <v>7.9081414564221464E-2</v>
      </c>
      <c r="Q22" s="16">
        <v>0.92091858543577854</v>
      </c>
      <c r="R22" s="10">
        <v>2626.04</v>
      </c>
    </row>
    <row r="23" spans="1:18" x14ac:dyDescent="0.35">
      <c r="A23" s="6" t="s">
        <v>114</v>
      </c>
      <c r="B23" s="6" t="s">
        <v>203</v>
      </c>
      <c r="C23" s="6" t="s">
        <v>198</v>
      </c>
      <c r="D23" s="17">
        <v>49.96</v>
      </c>
      <c r="E23" s="6" t="s">
        <v>199</v>
      </c>
      <c r="F23" s="13">
        <v>3226</v>
      </c>
      <c r="G23" s="13">
        <v>0</v>
      </c>
      <c r="H23" s="18">
        <v>0</v>
      </c>
      <c r="I23" s="13">
        <v>0</v>
      </c>
      <c r="J23" s="13">
        <v>0</v>
      </c>
      <c r="K23" s="18">
        <v>0</v>
      </c>
      <c r="L23" s="7">
        <v>8440096.8800000008</v>
      </c>
      <c r="M23" s="7">
        <v>7734041.6799999997</v>
      </c>
      <c r="N23" s="7">
        <v>706055.2</v>
      </c>
      <c r="O23" s="18">
        <v>7.9399999999999998E-2</v>
      </c>
      <c r="P23" s="18">
        <v>8.3654869136999752E-2</v>
      </c>
      <c r="Q23" s="18">
        <v>0.91634513086300007</v>
      </c>
      <c r="R23" s="7">
        <v>2616.27</v>
      </c>
    </row>
    <row r="24" spans="1:18" x14ac:dyDescent="0.35">
      <c r="A24" s="9" t="s">
        <v>114</v>
      </c>
      <c r="B24" s="9" t="s">
        <v>202</v>
      </c>
      <c r="C24" s="9" t="s">
        <v>201</v>
      </c>
      <c r="D24" s="15">
        <v>19.22</v>
      </c>
      <c r="E24" s="9" t="s">
        <v>199</v>
      </c>
      <c r="F24" s="12">
        <v>2777</v>
      </c>
      <c r="G24" s="12">
        <v>0</v>
      </c>
      <c r="H24" s="16">
        <v>0</v>
      </c>
      <c r="I24" s="12">
        <v>0</v>
      </c>
      <c r="J24" s="12">
        <v>0</v>
      </c>
      <c r="K24" s="16">
        <v>0</v>
      </c>
      <c r="L24" s="10">
        <v>7267318.8700000001</v>
      </c>
      <c r="M24" s="10">
        <v>6674939.3899999997</v>
      </c>
      <c r="N24" s="10">
        <v>592379.48</v>
      </c>
      <c r="O24" s="16">
        <v>8.7100000000000011E-2</v>
      </c>
      <c r="P24" s="16">
        <v>8.1512795928823725E-2</v>
      </c>
      <c r="Q24" s="16">
        <v>0.91848720407117623</v>
      </c>
      <c r="R24" s="10">
        <v>2616.9699999999998</v>
      </c>
    </row>
    <row r="25" spans="1:18" x14ac:dyDescent="0.35">
      <c r="A25" s="6" t="s">
        <v>114</v>
      </c>
      <c r="B25" s="6" t="s">
        <v>203</v>
      </c>
      <c r="C25" s="6" t="s">
        <v>201</v>
      </c>
      <c r="D25" s="17">
        <v>19.39</v>
      </c>
      <c r="E25" s="6" t="s">
        <v>199</v>
      </c>
      <c r="F25" s="13">
        <v>2570</v>
      </c>
      <c r="G25" s="13">
        <v>0</v>
      </c>
      <c r="H25" s="18">
        <v>0</v>
      </c>
      <c r="I25" s="13">
        <v>0</v>
      </c>
      <c r="J25" s="13">
        <v>0</v>
      </c>
      <c r="K25" s="18">
        <v>0</v>
      </c>
      <c r="L25" s="7">
        <v>6699710.5800000001</v>
      </c>
      <c r="M25" s="7">
        <v>6145997.5899999999</v>
      </c>
      <c r="N25" s="7">
        <v>553712.99</v>
      </c>
      <c r="O25" s="18">
        <v>8.3699999999999997E-2</v>
      </c>
      <c r="P25" s="18">
        <v>8.2647299967396504E-2</v>
      </c>
      <c r="Q25" s="18">
        <v>0.9173527000326035</v>
      </c>
      <c r="R25" s="7">
        <v>2606.89</v>
      </c>
    </row>
    <row r="26" spans="1:18" x14ac:dyDescent="0.35">
      <c r="A26" s="9" t="s">
        <v>104</v>
      </c>
      <c r="B26" s="9" t="s">
        <v>197</v>
      </c>
      <c r="C26" s="9" t="s">
        <v>201</v>
      </c>
      <c r="D26" s="15">
        <v>19.190000000000001</v>
      </c>
      <c r="E26" s="9" t="s">
        <v>204</v>
      </c>
      <c r="F26" s="12">
        <v>1089</v>
      </c>
      <c r="G26" s="12">
        <v>1089</v>
      </c>
      <c r="H26" s="16">
        <v>1</v>
      </c>
      <c r="I26" s="12">
        <v>1089</v>
      </c>
      <c r="J26" s="12">
        <v>0</v>
      </c>
      <c r="K26" s="16">
        <v>0</v>
      </c>
      <c r="L26" s="10">
        <v>5394123.4699999997</v>
      </c>
      <c r="M26" s="10">
        <v>2599881.7000000002</v>
      </c>
      <c r="N26" s="10">
        <v>2794241.77</v>
      </c>
      <c r="O26" s="16">
        <v>9.3699999999999992E-2</v>
      </c>
      <c r="P26" s="16">
        <v>0.51801590852350288</v>
      </c>
      <c r="Q26" s="16">
        <v>0.48198409147649718</v>
      </c>
      <c r="R26" s="10">
        <v>4953.28</v>
      </c>
    </row>
    <row r="27" spans="1:18" x14ac:dyDescent="0.35">
      <c r="A27" s="6" t="s">
        <v>115</v>
      </c>
      <c r="B27" s="6" t="s">
        <v>202</v>
      </c>
      <c r="C27" s="6" t="s">
        <v>198</v>
      </c>
      <c r="D27" s="17">
        <v>49.44</v>
      </c>
      <c r="E27" s="6" t="s">
        <v>199</v>
      </c>
      <c r="F27" s="13">
        <v>1987</v>
      </c>
      <c r="G27" s="13">
        <v>0</v>
      </c>
      <c r="H27" s="18">
        <v>0</v>
      </c>
      <c r="I27" s="13">
        <v>0</v>
      </c>
      <c r="J27" s="13">
        <v>0</v>
      </c>
      <c r="K27" s="18">
        <v>0</v>
      </c>
      <c r="L27" s="7">
        <v>5263452.26</v>
      </c>
      <c r="M27" s="7">
        <v>4817044.67</v>
      </c>
      <c r="N27" s="7">
        <v>446407.59</v>
      </c>
      <c r="O27" s="18">
        <v>8.4499999999999992E-2</v>
      </c>
      <c r="P27" s="18">
        <v>8.4812698576656229E-2</v>
      </c>
      <c r="Q27" s="18">
        <v>0.91518730142334381</v>
      </c>
      <c r="R27" s="7">
        <v>2648.94</v>
      </c>
    </row>
    <row r="28" spans="1:18" x14ac:dyDescent="0.35">
      <c r="A28" s="9" t="s">
        <v>104</v>
      </c>
      <c r="B28" s="9" t="s">
        <v>197</v>
      </c>
      <c r="C28" s="9" t="s">
        <v>198</v>
      </c>
      <c r="D28" s="15">
        <v>49.99</v>
      </c>
      <c r="E28" s="9" t="s">
        <v>204</v>
      </c>
      <c r="F28" s="12">
        <v>1323</v>
      </c>
      <c r="G28" s="12">
        <v>1323</v>
      </c>
      <c r="H28" s="16">
        <v>1</v>
      </c>
      <c r="I28" s="12">
        <v>1323</v>
      </c>
      <c r="J28" s="12">
        <v>0</v>
      </c>
      <c r="K28" s="16">
        <v>0</v>
      </c>
      <c r="L28" s="10">
        <v>5222613.43</v>
      </c>
      <c r="M28" s="10">
        <v>3208305.34</v>
      </c>
      <c r="N28" s="10">
        <v>2014308.09</v>
      </c>
      <c r="O28" s="16">
        <v>8.77E-2</v>
      </c>
      <c r="P28" s="16">
        <v>0.38568967759116729</v>
      </c>
      <c r="Q28" s="16">
        <v>0.61431032240883277</v>
      </c>
      <c r="R28" s="10">
        <v>3947.55</v>
      </c>
    </row>
    <row r="29" spans="1:18" x14ac:dyDescent="0.35">
      <c r="A29" s="6" t="s">
        <v>115</v>
      </c>
      <c r="B29" s="6" t="s">
        <v>203</v>
      </c>
      <c r="C29" s="6" t="s">
        <v>198</v>
      </c>
      <c r="D29" s="17">
        <v>49.67</v>
      </c>
      <c r="E29" s="6" t="s">
        <v>199</v>
      </c>
      <c r="F29" s="13">
        <v>1785</v>
      </c>
      <c r="G29" s="13">
        <v>0</v>
      </c>
      <c r="H29" s="18">
        <v>0</v>
      </c>
      <c r="I29" s="13">
        <v>0</v>
      </c>
      <c r="J29" s="13">
        <v>0</v>
      </c>
      <c r="K29" s="18">
        <v>0</v>
      </c>
      <c r="L29" s="7">
        <v>4709332.13</v>
      </c>
      <c r="M29" s="7">
        <v>4402432.4400000004</v>
      </c>
      <c r="N29" s="7">
        <v>306899.69</v>
      </c>
      <c r="O29" s="18">
        <v>6.6699999999999995E-2</v>
      </c>
      <c r="P29" s="18">
        <v>6.5168410621316702E-2</v>
      </c>
      <c r="Q29" s="18">
        <v>0.93483158937868338</v>
      </c>
      <c r="R29" s="7">
        <v>2638.28</v>
      </c>
    </row>
    <row r="30" spans="1:18" x14ac:dyDescent="0.35">
      <c r="A30" s="9" t="s">
        <v>104</v>
      </c>
      <c r="B30" s="9" t="s">
        <v>197</v>
      </c>
      <c r="C30" s="9" t="s">
        <v>198</v>
      </c>
      <c r="D30" s="15">
        <v>49.6</v>
      </c>
      <c r="E30" s="9" t="s">
        <v>205</v>
      </c>
      <c r="F30" s="12">
        <v>1301</v>
      </c>
      <c r="G30" s="12">
        <v>1301</v>
      </c>
      <c r="H30" s="16">
        <v>1</v>
      </c>
      <c r="I30" s="12">
        <v>1301</v>
      </c>
      <c r="J30" s="12">
        <v>1301</v>
      </c>
      <c r="K30" s="16">
        <v>1</v>
      </c>
      <c r="L30" s="10">
        <v>4392091.4000000004</v>
      </c>
      <c r="M30" s="10">
        <v>3040109.26</v>
      </c>
      <c r="N30" s="10">
        <v>1351982.14</v>
      </c>
      <c r="O30" s="16">
        <v>8.6099999999999996E-2</v>
      </c>
      <c r="P30" s="16">
        <v>0.30782195015340519</v>
      </c>
      <c r="Q30" s="16">
        <v>0.6921780498465947</v>
      </c>
      <c r="R30" s="10">
        <v>3375.93</v>
      </c>
    </row>
    <row r="31" spans="1:18" x14ac:dyDescent="0.35">
      <c r="A31" s="6" t="s">
        <v>104</v>
      </c>
      <c r="B31" s="6" t="s">
        <v>197</v>
      </c>
      <c r="C31" s="6" t="s">
        <v>107</v>
      </c>
      <c r="D31" s="17">
        <v>4.5599999999999996</v>
      </c>
      <c r="E31" s="6" t="s">
        <v>199</v>
      </c>
      <c r="F31" s="13">
        <v>1037</v>
      </c>
      <c r="G31" s="13">
        <v>0</v>
      </c>
      <c r="H31" s="18">
        <v>0</v>
      </c>
      <c r="I31" s="13">
        <v>0</v>
      </c>
      <c r="J31" s="13">
        <v>0</v>
      </c>
      <c r="K31" s="18">
        <v>0</v>
      </c>
      <c r="L31" s="7">
        <v>4262982.13</v>
      </c>
      <c r="M31" s="7">
        <v>2424402.6</v>
      </c>
      <c r="N31" s="7">
        <v>1838579.53</v>
      </c>
      <c r="O31" s="18">
        <v>0.1032</v>
      </c>
      <c r="P31" s="18">
        <v>0.43128952313952112</v>
      </c>
      <c r="Q31" s="18">
        <v>0.56871047686047893</v>
      </c>
      <c r="R31" s="7">
        <v>4110.88</v>
      </c>
    </row>
    <row r="32" spans="1:18" x14ac:dyDescent="0.35">
      <c r="A32" s="9" t="s">
        <v>115</v>
      </c>
      <c r="B32" s="9" t="s">
        <v>202</v>
      </c>
      <c r="C32" s="9" t="s">
        <v>201</v>
      </c>
      <c r="D32" s="15">
        <v>19.28</v>
      </c>
      <c r="E32" s="9" t="s">
        <v>199</v>
      </c>
      <c r="F32" s="12">
        <v>1577</v>
      </c>
      <c r="G32" s="12">
        <v>0</v>
      </c>
      <c r="H32" s="16">
        <v>0</v>
      </c>
      <c r="I32" s="12">
        <v>0</v>
      </c>
      <c r="J32" s="12">
        <v>0</v>
      </c>
      <c r="K32" s="16">
        <v>0</v>
      </c>
      <c r="L32" s="10">
        <v>4135433.54</v>
      </c>
      <c r="M32" s="10">
        <v>3752745.88</v>
      </c>
      <c r="N32" s="10">
        <v>382687.66</v>
      </c>
      <c r="O32" s="16">
        <v>8.43E-2</v>
      </c>
      <c r="P32" s="16">
        <v>9.2538703934775354E-2</v>
      </c>
      <c r="Q32" s="16">
        <v>0.90746129606522463</v>
      </c>
      <c r="R32" s="10">
        <v>2622.34</v>
      </c>
    </row>
    <row r="33" spans="1:18" x14ac:dyDescent="0.35">
      <c r="A33" s="6" t="s">
        <v>104</v>
      </c>
      <c r="B33" s="6" t="s">
        <v>197</v>
      </c>
      <c r="C33" s="6" t="s">
        <v>201</v>
      </c>
      <c r="D33" s="17">
        <v>19.05</v>
      </c>
      <c r="E33" s="6" t="s">
        <v>205</v>
      </c>
      <c r="F33" s="13">
        <v>1077</v>
      </c>
      <c r="G33" s="13">
        <v>1077</v>
      </c>
      <c r="H33" s="18">
        <v>1</v>
      </c>
      <c r="I33" s="13">
        <v>1077</v>
      </c>
      <c r="J33" s="13">
        <v>1077</v>
      </c>
      <c r="K33" s="18">
        <v>1</v>
      </c>
      <c r="L33" s="7">
        <v>4004911.66</v>
      </c>
      <c r="M33" s="7">
        <v>2514522.16</v>
      </c>
      <c r="N33" s="7">
        <v>1490389.5</v>
      </c>
      <c r="O33" s="18">
        <v>8.6400000000000005E-2</v>
      </c>
      <c r="P33" s="18">
        <v>0.37214041819838789</v>
      </c>
      <c r="Q33" s="18">
        <v>0.62785958180161205</v>
      </c>
      <c r="R33" s="7">
        <v>3718.58</v>
      </c>
    </row>
    <row r="34" spans="1:18" x14ac:dyDescent="0.35">
      <c r="A34" s="9" t="s">
        <v>115</v>
      </c>
      <c r="B34" s="9" t="s">
        <v>203</v>
      </c>
      <c r="C34" s="9" t="s">
        <v>201</v>
      </c>
      <c r="D34" s="15">
        <v>19.14</v>
      </c>
      <c r="E34" s="9" t="s">
        <v>199</v>
      </c>
      <c r="F34" s="12">
        <v>1401</v>
      </c>
      <c r="G34" s="12">
        <v>0</v>
      </c>
      <c r="H34" s="16">
        <v>0</v>
      </c>
      <c r="I34" s="12">
        <v>0</v>
      </c>
      <c r="J34" s="12">
        <v>0</v>
      </c>
      <c r="K34" s="16">
        <v>0</v>
      </c>
      <c r="L34" s="10">
        <v>3744457.02</v>
      </c>
      <c r="M34" s="10">
        <v>3470158.64</v>
      </c>
      <c r="N34" s="10">
        <v>274298.38</v>
      </c>
      <c r="O34" s="16">
        <v>7.7800000000000008E-2</v>
      </c>
      <c r="P34" s="16">
        <v>7.325451421525464E-2</v>
      </c>
      <c r="Q34" s="16">
        <v>0.92674548578474547</v>
      </c>
      <c r="R34" s="10">
        <v>2672.7</v>
      </c>
    </row>
    <row r="35" spans="1:18" x14ac:dyDescent="0.35">
      <c r="A35" s="6" t="s">
        <v>104</v>
      </c>
      <c r="B35" s="6" t="s">
        <v>200</v>
      </c>
      <c r="C35" s="6" t="s">
        <v>107</v>
      </c>
      <c r="D35" s="17">
        <v>4.57</v>
      </c>
      <c r="E35" s="6" t="s">
        <v>199</v>
      </c>
      <c r="F35" s="13">
        <v>767</v>
      </c>
      <c r="G35" s="13">
        <v>0</v>
      </c>
      <c r="H35" s="18">
        <v>0</v>
      </c>
      <c r="I35" s="13">
        <v>0</v>
      </c>
      <c r="J35" s="13">
        <v>0</v>
      </c>
      <c r="K35" s="18">
        <v>0</v>
      </c>
      <c r="L35" s="7">
        <v>3030679.4</v>
      </c>
      <c r="M35" s="7">
        <v>1863455.18</v>
      </c>
      <c r="N35" s="7">
        <v>1167224.22</v>
      </c>
      <c r="O35" s="18">
        <v>8.0799999999999997E-2</v>
      </c>
      <c r="P35" s="18">
        <v>0.3851361579189142</v>
      </c>
      <c r="Q35" s="18">
        <v>0.6148638420810858</v>
      </c>
      <c r="R35" s="7">
        <v>3951.34</v>
      </c>
    </row>
    <row r="36" spans="1:18" x14ac:dyDescent="0.35">
      <c r="A36" s="9" t="s">
        <v>114</v>
      </c>
      <c r="B36" s="9" t="s">
        <v>197</v>
      </c>
      <c r="C36" s="9" t="s">
        <v>198</v>
      </c>
      <c r="D36" s="15">
        <v>49.81</v>
      </c>
      <c r="E36" s="9" t="s">
        <v>205</v>
      </c>
      <c r="F36" s="12">
        <v>634</v>
      </c>
      <c r="G36" s="12">
        <v>634</v>
      </c>
      <c r="H36" s="16">
        <v>1</v>
      </c>
      <c r="I36" s="12">
        <v>634</v>
      </c>
      <c r="J36" s="12">
        <v>634</v>
      </c>
      <c r="K36" s="16">
        <v>1</v>
      </c>
      <c r="L36" s="10">
        <v>1698233.36</v>
      </c>
      <c r="M36" s="10">
        <v>1583599.7</v>
      </c>
      <c r="N36" s="10">
        <v>114633.66</v>
      </c>
      <c r="O36" s="16">
        <v>7.2599999999999998E-2</v>
      </c>
      <c r="P36" s="16">
        <v>6.7501712485497273E-2</v>
      </c>
      <c r="Q36" s="16">
        <v>0.93249828751450248</v>
      </c>
      <c r="R36" s="10">
        <v>2678.6</v>
      </c>
    </row>
    <row r="37" spans="1:18" x14ac:dyDescent="0.35">
      <c r="A37" s="6" t="s">
        <v>114</v>
      </c>
      <c r="B37" s="6" t="s">
        <v>197</v>
      </c>
      <c r="C37" s="6" t="s">
        <v>198</v>
      </c>
      <c r="D37" s="17">
        <v>49.92</v>
      </c>
      <c r="E37" s="6" t="s">
        <v>204</v>
      </c>
      <c r="F37" s="13">
        <v>591</v>
      </c>
      <c r="G37" s="13">
        <v>591</v>
      </c>
      <c r="H37" s="18">
        <v>1</v>
      </c>
      <c r="I37" s="13">
        <v>591</v>
      </c>
      <c r="J37" s="13">
        <v>0</v>
      </c>
      <c r="K37" s="18">
        <v>0</v>
      </c>
      <c r="L37" s="7">
        <v>1592420.24</v>
      </c>
      <c r="M37" s="7">
        <v>1460465.97</v>
      </c>
      <c r="N37" s="7">
        <v>131954.26999999999</v>
      </c>
      <c r="O37" s="18">
        <v>8.4600000000000009E-2</v>
      </c>
      <c r="P37" s="18">
        <v>8.2863974399119661E-2</v>
      </c>
      <c r="Q37" s="18">
        <v>0.91713602560088037</v>
      </c>
      <c r="R37" s="7">
        <v>2694.45</v>
      </c>
    </row>
    <row r="38" spans="1:18" x14ac:dyDescent="0.35">
      <c r="A38" s="9" t="s">
        <v>104</v>
      </c>
      <c r="B38" s="9" t="s">
        <v>202</v>
      </c>
      <c r="C38" s="9" t="s">
        <v>107</v>
      </c>
      <c r="D38" s="15">
        <v>4.43</v>
      </c>
      <c r="E38" s="9" t="s">
        <v>199</v>
      </c>
      <c r="F38" s="12">
        <v>306</v>
      </c>
      <c r="G38" s="12">
        <v>0</v>
      </c>
      <c r="H38" s="16">
        <v>0</v>
      </c>
      <c r="I38" s="12">
        <v>0</v>
      </c>
      <c r="J38" s="12">
        <v>0</v>
      </c>
      <c r="K38" s="16">
        <v>0</v>
      </c>
      <c r="L38" s="10">
        <v>1325980.1299999999</v>
      </c>
      <c r="M38" s="10">
        <v>763635.74</v>
      </c>
      <c r="N38" s="10">
        <v>562344.39</v>
      </c>
      <c r="O38" s="16">
        <v>7.1900000000000006E-2</v>
      </c>
      <c r="P38" s="16">
        <v>0.42409714691576872</v>
      </c>
      <c r="Q38" s="16">
        <v>0.57590285308423139</v>
      </c>
      <c r="R38" s="10">
        <v>4333.2700000000004</v>
      </c>
    </row>
    <row r="39" spans="1:18" x14ac:dyDescent="0.35">
      <c r="A39" s="6" t="s">
        <v>114</v>
      </c>
      <c r="B39" s="6" t="s">
        <v>197</v>
      </c>
      <c r="C39" s="6" t="s">
        <v>107</v>
      </c>
      <c r="D39" s="17">
        <v>4.5599999999999996</v>
      </c>
      <c r="E39" s="6" t="s">
        <v>199</v>
      </c>
      <c r="F39" s="13">
        <v>500</v>
      </c>
      <c r="G39" s="13">
        <v>0</v>
      </c>
      <c r="H39" s="18">
        <v>0</v>
      </c>
      <c r="I39" s="13">
        <v>0</v>
      </c>
      <c r="J39" s="13">
        <v>0</v>
      </c>
      <c r="K39" s="18">
        <v>0</v>
      </c>
      <c r="L39" s="7">
        <v>1304301.97</v>
      </c>
      <c r="M39" s="7">
        <v>1200212.3</v>
      </c>
      <c r="N39" s="7">
        <v>104089.67</v>
      </c>
      <c r="O39" s="18">
        <v>8.199999999999999E-2</v>
      </c>
      <c r="P39" s="18">
        <v>7.9804885980506488E-2</v>
      </c>
      <c r="Q39" s="18">
        <v>0.92019511401949361</v>
      </c>
      <c r="R39" s="7">
        <v>2608.6</v>
      </c>
    </row>
    <row r="40" spans="1:18" x14ac:dyDescent="0.35">
      <c r="A40" s="9" t="s">
        <v>114</v>
      </c>
      <c r="B40" s="9" t="s">
        <v>197</v>
      </c>
      <c r="C40" s="9" t="s">
        <v>201</v>
      </c>
      <c r="D40" s="15">
        <v>19.579999999999998</v>
      </c>
      <c r="E40" s="9" t="s">
        <v>205</v>
      </c>
      <c r="F40" s="12">
        <v>490</v>
      </c>
      <c r="G40" s="12">
        <v>490</v>
      </c>
      <c r="H40" s="16">
        <v>1</v>
      </c>
      <c r="I40" s="12">
        <v>490</v>
      </c>
      <c r="J40" s="12">
        <v>490</v>
      </c>
      <c r="K40" s="16">
        <v>1</v>
      </c>
      <c r="L40" s="10">
        <v>1276212.27</v>
      </c>
      <c r="M40" s="10">
        <v>1190187.68</v>
      </c>
      <c r="N40" s="10">
        <v>86024.59</v>
      </c>
      <c r="O40" s="16">
        <v>7.3499999999999996E-2</v>
      </c>
      <c r="P40" s="16">
        <v>6.7406176873695156E-2</v>
      </c>
      <c r="Q40" s="16">
        <v>0.93259382312630479</v>
      </c>
      <c r="R40" s="10">
        <v>2604.5100000000002</v>
      </c>
    </row>
    <row r="41" spans="1:18" x14ac:dyDescent="0.35">
      <c r="A41" s="6" t="s">
        <v>114</v>
      </c>
      <c r="B41" s="6" t="s">
        <v>197</v>
      </c>
      <c r="C41" s="6" t="s">
        <v>201</v>
      </c>
      <c r="D41" s="17">
        <v>19.71</v>
      </c>
      <c r="E41" s="6" t="s">
        <v>204</v>
      </c>
      <c r="F41" s="13">
        <v>489</v>
      </c>
      <c r="G41" s="13">
        <v>489</v>
      </c>
      <c r="H41" s="18">
        <v>1</v>
      </c>
      <c r="I41" s="13">
        <v>489</v>
      </c>
      <c r="J41" s="13">
        <v>0</v>
      </c>
      <c r="K41" s="18">
        <v>0</v>
      </c>
      <c r="L41" s="7">
        <v>1236419.69</v>
      </c>
      <c r="M41" s="7">
        <v>1136836.53</v>
      </c>
      <c r="N41" s="7">
        <v>99583.16</v>
      </c>
      <c r="O41" s="18">
        <v>8.5900000000000004E-2</v>
      </c>
      <c r="P41" s="18">
        <v>8.0541551388590399E-2</v>
      </c>
      <c r="Q41" s="18">
        <v>0.91945844861140968</v>
      </c>
      <c r="R41" s="7">
        <v>2528.4699999999998</v>
      </c>
    </row>
    <row r="42" spans="1:18" x14ac:dyDescent="0.35">
      <c r="A42" s="9" t="s">
        <v>115</v>
      </c>
      <c r="B42" s="9" t="s">
        <v>197</v>
      </c>
      <c r="C42" s="9" t="s">
        <v>198</v>
      </c>
      <c r="D42" s="15">
        <v>49.96</v>
      </c>
      <c r="E42" s="9" t="s">
        <v>204</v>
      </c>
      <c r="F42" s="12">
        <v>357</v>
      </c>
      <c r="G42" s="12">
        <v>357</v>
      </c>
      <c r="H42" s="16">
        <v>1</v>
      </c>
      <c r="I42" s="12">
        <v>357</v>
      </c>
      <c r="J42" s="12">
        <v>0</v>
      </c>
      <c r="K42" s="16">
        <v>0</v>
      </c>
      <c r="L42" s="10">
        <v>920515.17</v>
      </c>
      <c r="M42" s="10">
        <v>849549.55</v>
      </c>
      <c r="N42" s="10">
        <v>70965.62</v>
      </c>
      <c r="O42" s="16">
        <v>6.7199999999999996E-2</v>
      </c>
      <c r="P42" s="16">
        <v>7.7093373702901591E-2</v>
      </c>
      <c r="Q42" s="16">
        <v>0.92290662629709841</v>
      </c>
      <c r="R42" s="10">
        <v>2578.4699999999998</v>
      </c>
    </row>
    <row r="43" spans="1:18" x14ac:dyDescent="0.35">
      <c r="A43" s="6" t="s">
        <v>115</v>
      </c>
      <c r="B43" s="6" t="s">
        <v>197</v>
      </c>
      <c r="C43" s="6" t="s">
        <v>198</v>
      </c>
      <c r="D43" s="17">
        <v>48.69</v>
      </c>
      <c r="E43" s="6" t="s">
        <v>205</v>
      </c>
      <c r="F43" s="13">
        <v>353</v>
      </c>
      <c r="G43" s="13">
        <v>353</v>
      </c>
      <c r="H43" s="18">
        <v>1</v>
      </c>
      <c r="I43" s="13">
        <v>353</v>
      </c>
      <c r="J43" s="13">
        <v>353</v>
      </c>
      <c r="K43" s="18">
        <v>1</v>
      </c>
      <c r="L43" s="7">
        <v>892259.35</v>
      </c>
      <c r="M43" s="7">
        <v>821819.62</v>
      </c>
      <c r="N43" s="7">
        <v>70439.73</v>
      </c>
      <c r="O43" s="18">
        <v>8.2200000000000009E-2</v>
      </c>
      <c r="P43" s="18">
        <v>7.8945353724788642E-2</v>
      </c>
      <c r="Q43" s="18">
        <v>0.92105464627521139</v>
      </c>
      <c r="R43" s="7">
        <v>2527.65</v>
      </c>
    </row>
    <row r="44" spans="1:18" x14ac:dyDescent="0.35">
      <c r="A44" s="9" t="s">
        <v>114</v>
      </c>
      <c r="B44" s="9" t="s">
        <v>200</v>
      </c>
      <c r="C44" s="9" t="s">
        <v>107</v>
      </c>
      <c r="D44" s="15">
        <v>4.7300000000000004</v>
      </c>
      <c r="E44" s="9" t="s">
        <v>199</v>
      </c>
      <c r="F44" s="12">
        <v>342</v>
      </c>
      <c r="G44" s="12">
        <v>0</v>
      </c>
      <c r="H44" s="16">
        <v>0</v>
      </c>
      <c r="I44" s="12">
        <v>0</v>
      </c>
      <c r="J44" s="12">
        <v>0</v>
      </c>
      <c r="K44" s="16">
        <v>0</v>
      </c>
      <c r="L44" s="10">
        <v>880149.44</v>
      </c>
      <c r="M44" s="10">
        <v>802526.55</v>
      </c>
      <c r="N44" s="10">
        <v>77622.89</v>
      </c>
      <c r="O44" s="16">
        <v>8.1900000000000001E-2</v>
      </c>
      <c r="P44" s="16">
        <v>8.8192852795543453E-2</v>
      </c>
      <c r="Q44" s="16">
        <v>0.91180714720445666</v>
      </c>
      <c r="R44" s="10">
        <v>2573.54</v>
      </c>
    </row>
    <row r="45" spans="1:18" x14ac:dyDescent="0.35">
      <c r="A45" s="6" t="s">
        <v>104</v>
      </c>
      <c r="B45" s="6" t="s">
        <v>203</v>
      </c>
      <c r="C45" s="6" t="s">
        <v>107</v>
      </c>
      <c r="D45" s="17">
        <v>4.3099999999999996</v>
      </c>
      <c r="E45" s="6" t="s">
        <v>199</v>
      </c>
      <c r="F45" s="13">
        <v>258</v>
      </c>
      <c r="G45" s="13">
        <v>0</v>
      </c>
      <c r="H45" s="18">
        <v>0</v>
      </c>
      <c r="I45" s="13">
        <v>0</v>
      </c>
      <c r="J45" s="13">
        <v>0</v>
      </c>
      <c r="K45" s="18">
        <v>0</v>
      </c>
      <c r="L45" s="7">
        <v>744543.13</v>
      </c>
      <c r="M45" s="7">
        <v>631782.02</v>
      </c>
      <c r="N45" s="7">
        <v>112761.11</v>
      </c>
      <c r="O45" s="18">
        <v>5.4299999999999987E-2</v>
      </c>
      <c r="P45" s="18">
        <v>0.15145007113288389</v>
      </c>
      <c r="Q45" s="18">
        <v>0.84854992886711611</v>
      </c>
      <c r="R45" s="7">
        <v>2885.83</v>
      </c>
    </row>
    <row r="46" spans="1:18" x14ac:dyDescent="0.35">
      <c r="A46" s="9" t="s">
        <v>115</v>
      </c>
      <c r="B46" s="9" t="s">
        <v>197</v>
      </c>
      <c r="C46" s="9" t="s">
        <v>107</v>
      </c>
      <c r="D46" s="15">
        <v>4.51</v>
      </c>
      <c r="E46" s="9" t="s">
        <v>199</v>
      </c>
      <c r="F46" s="12">
        <v>272</v>
      </c>
      <c r="G46" s="12">
        <v>0</v>
      </c>
      <c r="H46" s="16">
        <v>0</v>
      </c>
      <c r="I46" s="12">
        <v>0</v>
      </c>
      <c r="J46" s="12">
        <v>0</v>
      </c>
      <c r="K46" s="16">
        <v>0</v>
      </c>
      <c r="L46" s="10">
        <v>723415.8</v>
      </c>
      <c r="M46" s="10">
        <v>662501.76</v>
      </c>
      <c r="N46" s="10">
        <v>60914.04</v>
      </c>
      <c r="O46" s="16">
        <v>6.9900000000000004E-2</v>
      </c>
      <c r="P46" s="16">
        <v>8.4203358566401224E-2</v>
      </c>
      <c r="Q46" s="16">
        <v>0.91579664143359873</v>
      </c>
      <c r="R46" s="10">
        <v>2659.62</v>
      </c>
    </row>
    <row r="47" spans="1:18" x14ac:dyDescent="0.35">
      <c r="A47" s="6" t="s">
        <v>115</v>
      </c>
      <c r="B47" s="6" t="s">
        <v>197</v>
      </c>
      <c r="C47" s="6" t="s">
        <v>201</v>
      </c>
      <c r="D47" s="17">
        <v>20.02</v>
      </c>
      <c r="E47" s="6" t="s">
        <v>205</v>
      </c>
      <c r="F47" s="13">
        <v>277</v>
      </c>
      <c r="G47" s="13">
        <v>277</v>
      </c>
      <c r="H47" s="18">
        <v>1</v>
      </c>
      <c r="I47" s="13">
        <v>277</v>
      </c>
      <c r="J47" s="13">
        <v>277</v>
      </c>
      <c r="K47" s="18">
        <v>1</v>
      </c>
      <c r="L47" s="7">
        <v>722578.23</v>
      </c>
      <c r="M47" s="7">
        <v>666427.97</v>
      </c>
      <c r="N47" s="7">
        <v>56150.26</v>
      </c>
      <c r="O47" s="18">
        <v>7.5800000000000006E-2</v>
      </c>
      <c r="P47" s="18">
        <v>7.770820883989267E-2</v>
      </c>
      <c r="Q47" s="18">
        <v>0.92229179116010729</v>
      </c>
      <c r="R47" s="7">
        <v>2608.59</v>
      </c>
    </row>
    <row r="48" spans="1:18" x14ac:dyDescent="0.35">
      <c r="A48" s="9" t="s">
        <v>115</v>
      </c>
      <c r="B48" s="9" t="s">
        <v>197</v>
      </c>
      <c r="C48" s="9" t="s">
        <v>201</v>
      </c>
      <c r="D48" s="15">
        <v>19.12</v>
      </c>
      <c r="E48" s="9" t="s">
        <v>204</v>
      </c>
      <c r="F48" s="12">
        <v>282</v>
      </c>
      <c r="G48" s="12">
        <v>282</v>
      </c>
      <c r="H48" s="16">
        <v>1</v>
      </c>
      <c r="I48" s="12">
        <v>282</v>
      </c>
      <c r="J48" s="12">
        <v>0</v>
      </c>
      <c r="K48" s="16">
        <v>0</v>
      </c>
      <c r="L48" s="10">
        <v>704596.79</v>
      </c>
      <c r="M48" s="10">
        <v>652547.46</v>
      </c>
      <c r="N48" s="10">
        <v>52049.33</v>
      </c>
      <c r="O48" s="16">
        <v>8.1600000000000006E-2</v>
      </c>
      <c r="P48" s="16">
        <v>7.3871085901484168E-2</v>
      </c>
      <c r="Q48" s="16">
        <v>0.92612891409851572</v>
      </c>
      <c r="R48" s="10">
        <v>2498.5700000000002</v>
      </c>
    </row>
    <row r="49" spans="1:18" x14ac:dyDescent="0.35">
      <c r="A49" s="6" t="s">
        <v>115</v>
      </c>
      <c r="B49" s="6" t="s">
        <v>200</v>
      </c>
      <c r="C49" s="6" t="s">
        <v>107</v>
      </c>
      <c r="D49" s="17">
        <v>4.5999999999999996</v>
      </c>
      <c r="E49" s="6" t="s">
        <v>199</v>
      </c>
      <c r="F49" s="13">
        <v>173</v>
      </c>
      <c r="G49" s="13">
        <v>0</v>
      </c>
      <c r="H49" s="18">
        <v>0</v>
      </c>
      <c r="I49" s="13">
        <v>0</v>
      </c>
      <c r="J49" s="13">
        <v>0</v>
      </c>
      <c r="K49" s="18">
        <v>0</v>
      </c>
      <c r="L49" s="7">
        <v>440207.55</v>
      </c>
      <c r="M49" s="7">
        <v>409653.13</v>
      </c>
      <c r="N49" s="7">
        <v>30554.42</v>
      </c>
      <c r="O49" s="18">
        <v>9.8299999999999998E-2</v>
      </c>
      <c r="P49" s="18">
        <v>6.9409123037530815E-2</v>
      </c>
      <c r="Q49" s="18">
        <v>0.93059087696246923</v>
      </c>
      <c r="R49" s="7">
        <v>2544.5500000000002</v>
      </c>
    </row>
    <row r="50" spans="1:18" x14ac:dyDescent="0.35">
      <c r="A50" s="9" t="s">
        <v>114</v>
      </c>
      <c r="B50" s="9" t="s">
        <v>203</v>
      </c>
      <c r="C50" s="9" t="s">
        <v>107</v>
      </c>
      <c r="D50" s="15">
        <v>4.34</v>
      </c>
      <c r="E50" s="9" t="s">
        <v>199</v>
      </c>
      <c r="F50" s="12">
        <v>129</v>
      </c>
      <c r="G50" s="12">
        <v>0</v>
      </c>
      <c r="H50" s="16">
        <v>0</v>
      </c>
      <c r="I50" s="12">
        <v>0</v>
      </c>
      <c r="J50" s="12">
        <v>0</v>
      </c>
      <c r="K50" s="16">
        <v>0</v>
      </c>
      <c r="L50" s="10">
        <v>386863.57</v>
      </c>
      <c r="M50" s="10">
        <v>343343.93</v>
      </c>
      <c r="N50" s="10">
        <v>43519.64</v>
      </c>
      <c r="O50" s="16">
        <v>9.3000000000000013E-2</v>
      </c>
      <c r="P50" s="16">
        <v>0.112493507724183</v>
      </c>
      <c r="Q50" s="16">
        <v>0.88750649227581702</v>
      </c>
      <c r="R50" s="10">
        <v>2998.94</v>
      </c>
    </row>
    <row r="51" spans="1:18" x14ac:dyDescent="0.35">
      <c r="A51" s="6" t="s">
        <v>114</v>
      </c>
      <c r="B51" s="6" t="s">
        <v>202</v>
      </c>
      <c r="C51" s="6" t="s">
        <v>107</v>
      </c>
      <c r="D51" s="17">
        <v>4.51</v>
      </c>
      <c r="E51" s="6" t="s">
        <v>199</v>
      </c>
      <c r="F51" s="13">
        <v>149</v>
      </c>
      <c r="G51" s="13">
        <v>0</v>
      </c>
      <c r="H51" s="18">
        <v>0</v>
      </c>
      <c r="I51" s="13">
        <v>0</v>
      </c>
      <c r="J51" s="13">
        <v>0</v>
      </c>
      <c r="K51" s="18">
        <v>0</v>
      </c>
      <c r="L51" s="7">
        <v>373508.65</v>
      </c>
      <c r="M51" s="7">
        <v>350826.81</v>
      </c>
      <c r="N51" s="7">
        <v>22681.84</v>
      </c>
      <c r="O51" s="18">
        <v>7.3800000000000004E-2</v>
      </c>
      <c r="P51" s="18">
        <v>6.0726411557001418E-2</v>
      </c>
      <c r="Q51" s="18">
        <v>0.93927358844299846</v>
      </c>
      <c r="R51" s="7">
        <v>2506.77</v>
      </c>
    </row>
    <row r="52" spans="1:18" x14ac:dyDescent="0.35">
      <c r="A52" s="9" t="s">
        <v>115</v>
      </c>
      <c r="B52" s="9" t="s">
        <v>202</v>
      </c>
      <c r="C52" s="9" t="s">
        <v>107</v>
      </c>
      <c r="D52" s="15">
        <v>4.72</v>
      </c>
      <c r="E52" s="9" t="s">
        <v>199</v>
      </c>
      <c r="F52" s="12">
        <v>64</v>
      </c>
      <c r="G52" s="12">
        <v>0</v>
      </c>
      <c r="H52" s="16">
        <v>0</v>
      </c>
      <c r="I52" s="12">
        <v>0</v>
      </c>
      <c r="J52" s="12">
        <v>0</v>
      </c>
      <c r="K52" s="16">
        <v>0</v>
      </c>
      <c r="L52" s="10">
        <v>193600.24</v>
      </c>
      <c r="M52" s="10">
        <v>179586.67</v>
      </c>
      <c r="N52" s="10">
        <v>14013.57</v>
      </c>
      <c r="O52" s="16">
        <v>7.8100000000000003E-2</v>
      </c>
      <c r="P52" s="16">
        <v>7.2384052829686574E-2</v>
      </c>
      <c r="Q52" s="16">
        <v>0.92761594717031348</v>
      </c>
      <c r="R52" s="10">
        <v>3025</v>
      </c>
    </row>
    <row r="53" spans="1:18" x14ac:dyDescent="0.35">
      <c r="A53" s="6" t="s">
        <v>115</v>
      </c>
      <c r="B53" s="6" t="s">
        <v>203</v>
      </c>
      <c r="C53" s="6" t="s">
        <v>107</v>
      </c>
      <c r="D53" s="17">
        <v>4.4400000000000004</v>
      </c>
      <c r="E53" s="6" t="s">
        <v>199</v>
      </c>
      <c r="F53" s="13">
        <v>75</v>
      </c>
      <c r="G53" s="13">
        <v>0</v>
      </c>
      <c r="H53" s="18">
        <v>0</v>
      </c>
      <c r="I53" s="13">
        <v>0</v>
      </c>
      <c r="J53" s="13">
        <v>0</v>
      </c>
      <c r="K53" s="18">
        <v>0</v>
      </c>
      <c r="L53" s="7">
        <v>189170.19</v>
      </c>
      <c r="M53" s="7">
        <v>171283.99</v>
      </c>
      <c r="N53" s="7">
        <v>17886.2</v>
      </c>
      <c r="O53" s="18">
        <v>0.1067</v>
      </c>
      <c r="P53" s="18">
        <v>9.4550838057518474E-2</v>
      </c>
      <c r="Q53" s="18">
        <v>0.90544916194248148</v>
      </c>
      <c r="R53" s="7">
        <v>2522.27</v>
      </c>
    </row>
    <row r="54" spans="1:18" x14ac:dyDescent="0.35">
      <c r="A54" s="9" t="s">
        <v>104</v>
      </c>
      <c r="B54" s="9" t="s">
        <v>197</v>
      </c>
      <c r="C54" s="9" t="s">
        <v>107</v>
      </c>
      <c r="D54" s="15">
        <v>4.62</v>
      </c>
      <c r="E54" s="9" t="s">
        <v>205</v>
      </c>
      <c r="F54" s="12">
        <v>58</v>
      </c>
      <c r="G54" s="12">
        <v>58</v>
      </c>
      <c r="H54" s="16">
        <v>1</v>
      </c>
      <c r="I54" s="12">
        <v>58</v>
      </c>
      <c r="J54" s="12">
        <v>58</v>
      </c>
      <c r="K54" s="16">
        <v>1</v>
      </c>
      <c r="L54" s="10">
        <v>150059.4</v>
      </c>
      <c r="M54" s="10">
        <v>140426.26999999999</v>
      </c>
      <c r="N54" s="10">
        <v>9633.1299999999992</v>
      </c>
      <c r="O54" s="16">
        <v>5.1700000000000003E-2</v>
      </c>
      <c r="P54" s="16">
        <v>6.4195445270339616E-2</v>
      </c>
      <c r="Q54" s="16">
        <v>0.9358045547296604</v>
      </c>
      <c r="R54" s="10">
        <v>2587.23</v>
      </c>
    </row>
    <row r="55" spans="1:18" x14ac:dyDescent="0.35">
      <c r="A55" s="6" t="s">
        <v>104</v>
      </c>
      <c r="B55" s="6" t="s">
        <v>197</v>
      </c>
      <c r="C55" s="6" t="s">
        <v>107</v>
      </c>
      <c r="D55" s="17">
        <v>4.87</v>
      </c>
      <c r="E55" s="6" t="s">
        <v>204</v>
      </c>
      <c r="F55" s="13">
        <v>47</v>
      </c>
      <c r="G55" s="13">
        <v>47</v>
      </c>
      <c r="H55" s="18">
        <v>1</v>
      </c>
      <c r="I55" s="13">
        <v>47</v>
      </c>
      <c r="J55" s="13">
        <v>0</v>
      </c>
      <c r="K55" s="18">
        <v>0</v>
      </c>
      <c r="L55" s="7">
        <v>128597.73</v>
      </c>
      <c r="M55" s="7">
        <v>121620.22</v>
      </c>
      <c r="N55" s="7">
        <v>6977.51</v>
      </c>
      <c r="O55" s="18">
        <v>6.3799999999999996E-2</v>
      </c>
      <c r="P55" s="18">
        <v>5.4258422757540122E-2</v>
      </c>
      <c r="Q55" s="18">
        <v>0.94574157724245989</v>
      </c>
      <c r="R55" s="7">
        <v>2736.12</v>
      </c>
    </row>
    <row r="56" spans="1:18" x14ac:dyDescent="0.35">
      <c r="A56" s="9" t="s">
        <v>114</v>
      </c>
      <c r="B56" s="9" t="s">
        <v>197</v>
      </c>
      <c r="C56" s="9" t="s">
        <v>107</v>
      </c>
      <c r="D56" s="15">
        <v>4.88</v>
      </c>
      <c r="E56" s="9" t="s">
        <v>205</v>
      </c>
      <c r="F56" s="12">
        <v>25</v>
      </c>
      <c r="G56" s="12">
        <v>25</v>
      </c>
      <c r="H56" s="16">
        <v>1</v>
      </c>
      <c r="I56" s="12">
        <v>25</v>
      </c>
      <c r="J56" s="12">
        <v>25</v>
      </c>
      <c r="K56" s="16">
        <v>1</v>
      </c>
      <c r="L56" s="10">
        <v>72274.73</v>
      </c>
      <c r="M56" s="10">
        <v>69687.240000000005</v>
      </c>
      <c r="N56" s="10">
        <v>2587.4899999999998</v>
      </c>
      <c r="O56" s="16">
        <v>0.04</v>
      </c>
      <c r="P56" s="16">
        <v>3.5800756363946293E-2</v>
      </c>
      <c r="Q56" s="16">
        <v>0.9641992436360538</v>
      </c>
      <c r="R56" s="10">
        <v>2890.99</v>
      </c>
    </row>
    <row r="57" spans="1:18" x14ac:dyDescent="0.35">
      <c r="A57" s="6" t="s">
        <v>115</v>
      </c>
      <c r="B57" s="6" t="s">
        <v>197</v>
      </c>
      <c r="C57" s="6" t="s">
        <v>107</v>
      </c>
      <c r="D57" s="17">
        <v>4.62</v>
      </c>
      <c r="E57" s="6" t="s">
        <v>205</v>
      </c>
      <c r="F57" s="13">
        <v>13</v>
      </c>
      <c r="G57" s="13">
        <v>13</v>
      </c>
      <c r="H57" s="18">
        <v>1</v>
      </c>
      <c r="I57" s="13">
        <v>13</v>
      </c>
      <c r="J57" s="13">
        <v>13</v>
      </c>
      <c r="K57" s="18">
        <v>1</v>
      </c>
      <c r="L57" s="7">
        <v>35003.589999999997</v>
      </c>
      <c r="M57" s="7">
        <v>32174.74</v>
      </c>
      <c r="N57" s="7">
        <v>2828.85</v>
      </c>
      <c r="O57" s="18">
        <v>7.690000000000001E-2</v>
      </c>
      <c r="P57" s="18">
        <v>8.0815996302093587E-2</v>
      </c>
      <c r="Q57" s="18">
        <v>0.91918400369790665</v>
      </c>
      <c r="R57" s="7">
        <v>2692.58</v>
      </c>
    </row>
    <row r="58" spans="1:18" x14ac:dyDescent="0.35">
      <c r="A58" s="9" t="s">
        <v>115</v>
      </c>
      <c r="B58" s="9" t="s">
        <v>197</v>
      </c>
      <c r="C58" s="9" t="s">
        <v>107</v>
      </c>
      <c r="D58" s="15">
        <v>5</v>
      </c>
      <c r="E58" s="9" t="s">
        <v>204</v>
      </c>
      <c r="F58" s="12">
        <v>11</v>
      </c>
      <c r="G58" s="12">
        <v>11</v>
      </c>
      <c r="H58" s="16">
        <v>1</v>
      </c>
      <c r="I58" s="12">
        <v>11</v>
      </c>
      <c r="J58" s="12">
        <v>0</v>
      </c>
      <c r="K58" s="16">
        <v>0</v>
      </c>
      <c r="L58" s="10">
        <v>34055.19</v>
      </c>
      <c r="M58" s="10">
        <v>34055.19</v>
      </c>
      <c r="N58" s="10">
        <v>0</v>
      </c>
      <c r="O58" s="16">
        <v>0</v>
      </c>
      <c r="P58" s="16">
        <v>0</v>
      </c>
      <c r="Q58" s="16">
        <v>1</v>
      </c>
      <c r="R58" s="10">
        <v>3095.93</v>
      </c>
    </row>
    <row r="59" spans="1:18" x14ac:dyDescent="0.35">
      <c r="A59" s="6" t="s">
        <v>114</v>
      </c>
      <c r="B59" s="6" t="s">
        <v>197</v>
      </c>
      <c r="C59" s="6" t="s">
        <v>107</v>
      </c>
      <c r="D59" s="17">
        <v>4.18</v>
      </c>
      <c r="E59" s="6" t="s">
        <v>204</v>
      </c>
      <c r="F59" s="13">
        <v>11</v>
      </c>
      <c r="G59" s="13">
        <v>11</v>
      </c>
      <c r="H59" s="18">
        <v>1</v>
      </c>
      <c r="I59" s="13">
        <v>11</v>
      </c>
      <c r="J59" s="13">
        <v>0</v>
      </c>
      <c r="K59" s="18">
        <v>0</v>
      </c>
      <c r="L59" s="7">
        <v>22379.8</v>
      </c>
      <c r="M59" s="7">
        <v>20488.66</v>
      </c>
      <c r="N59" s="7">
        <v>1891.14</v>
      </c>
      <c r="O59" s="18">
        <v>0.18179999999999999</v>
      </c>
      <c r="P59" s="18">
        <v>8.4502095639818059E-2</v>
      </c>
      <c r="Q59" s="18">
        <v>0.91549790436018197</v>
      </c>
      <c r="R59" s="7">
        <v>2034.53</v>
      </c>
    </row>
    <row r="60" spans="1:18" x14ac:dyDescent="0.35">
      <c r="A60" s="19" t="s">
        <v>116</v>
      </c>
      <c r="B60" s="19"/>
      <c r="C60" s="19"/>
      <c r="D60" s="20">
        <f>AVERAGE(D6:D59)</f>
        <v>24.503148148148142</v>
      </c>
      <c r="E60" s="19"/>
      <c r="F60" s="21">
        <f>SUM(F6:F59)</f>
        <v>200000</v>
      </c>
      <c r="G60" s="21">
        <f>SUM(G6:G59)</f>
        <v>8428</v>
      </c>
      <c r="H60" s="22">
        <f>G60/F60</f>
        <v>4.2139999999999997E-2</v>
      </c>
      <c r="I60" s="21">
        <f>SUM(I6:I59)</f>
        <v>8428</v>
      </c>
      <c r="J60" s="21">
        <f>SUM(J6:J59)</f>
        <v>4228</v>
      </c>
      <c r="K60" s="22">
        <f>J60/G60</f>
        <v>0.50166112956810627</v>
      </c>
      <c r="L60" s="23">
        <f>SUM(L6:L59)</f>
        <v>686899897.12</v>
      </c>
      <c r="M60" s="23">
        <f>SUM(M6:M59)</f>
        <v>484070043.40000004</v>
      </c>
      <c r="N60" s="23">
        <f>SUM(N6:N59)</f>
        <v>202829853.71999988</v>
      </c>
      <c r="O60" s="22">
        <f>0.08</f>
        <v>0.08</v>
      </c>
      <c r="P60" s="22">
        <f>N60/L60</f>
        <v>0.29528298747810983</v>
      </c>
      <c r="Q60" s="22">
        <f>M60/L60</f>
        <v>0.70471701252189001</v>
      </c>
      <c r="R60" s="23">
        <f>L60/F60</f>
        <v>3434.4994855999998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tabSelected="1" workbookViewId="0">
      <selection activeCell="C15" sqref="C15"/>
    </sheetView>
  </sheetViews>
  <sheetFormatPr defaultRowHeight="14.5" x14ac:dyDescent="0.35"/>
  <cols>
    <col min="1" max="1" width="104.1796875" bestFit="1" customWidth="1"/>
    <col min="2" max="2" width="64" bestFit="1" customWidth="1"/>
    <col min="3" max="3" width="20.36328125" bestFit="1" customWidth="1"/>
    <col min="4" max="4" width="21.26953125" bestFit="1" customWidth="1"/>
    <col min="5" max="5" width="31.453125" bestFit="1" customWidth="1"/>
  </cols>
  <sheetData>
    <row r="1" spans="1:5" ht="18" x14ac:dyDescent="0.4">
      <c r="A1" s="27" t="s">
        <v>206</v>
      </c>
    </row>
    <row r="2" spans="1:5" x14ac:dyDescent="0.35">
      <c r="A2" s="2" t="s">
        <v>207</v>
      </c>
    </row>
    <row r="4" spans="1:5" x14ac:dyDescent="0.35">
      <c r="A4" s="24" t="s">
        <v>208</v>
      </c>
    </row>
    <row r="5" spans="1:5" x14ac:dyDescent="0.35">
      <c r="A5" s="5" t="s">
        <v>209</v>
      </c>
      <c r="B5" s="5" t="s">
        <v>210</v>
      </c>
      <c r="C5" s="5" t="s">
        <v>211</v>
      </c>
      <c r="D5" s="5" t="s">
        <v>212</v>
      </c>
      <c r="E5" s="5" t="s">
        <v>213</v>
      </c>
    </row>
    <row r="6" spans="1:5" x14ac:dyDescent="0.35">
      <c r="A6" s="9" t="s">
        <v>214</v>
      </c>
      <c r="B6" s="9" t="s">
        <v>215</v>
      </c>
      <c r="C6" s="10">
        <v>202829853.72</v>
      </c>
      <c r="D6" s="16">
        <v>0.65</v>
      </c>
      <c r="E6" s="10">
        <v>131839404.92</v>
      </c>
    </row>
    <row r="7" spans="1:5" x14ac:dyDescent="0.35">
      <c r="A7" s="6" t="s">
        <v>216</v>
      </c>
      <c r="B7" s="6" t="s">
        <v>217</v>
      </c>
      <c r="C7" s="7">
        <v>290163887.37</v>
      </c>
      <c r="D7" s="18">
        <v>0.18</v>
      </c>
      <c r="E7" s="7">
        <v>52229500</v>
      </c>
    </row>
    <row r="8" spans="1:5" x14ac:dyDescent="0.35">
      <c r="A8" s="9" t="s">
        <v>218</v>
      </c>
      <c r="B8" s="9" t="s">
        <v>219</v>
      </c>
      <c r="C8" s="10">
        <v>28499342.309999999</v>
      </c>
      <c r="D8" s="16">
        <v>0.5</v>
      </c>
      <c r="E8" s="10">
        <v>14249671.16</v>
      </c>
    </row>
    <row r="9" spans="1:5" x14ac:dyDescent="0.35">
      <c r="A9" s="6" t="s">
        <v>220</v>
      </c>
      <c r="B9" s="6" t="s">
        <v>221</v>
      </c>
      <c r="C9" s="7">
        <v>298045470</v>
      </c>
      <c r="D9" s="18">
        <v>0.2</v>
      </c>
      <c r="E9" s="7">
        <v>59609094</v>
      </c>
    </row>
    <row r="10" spans="1:5" x14ac:dyDescent="0.35">
      <c r="A10" s="28" t="s">
        <v>222</v>
      </c>
      <c r="B10" s="29"/>
      <c r="C10" s="29"/>
      <c r="D10" s="29"/>
      <c r="E10" s="30">
        <f>SUM(E6:E9)</f>
        <v>257927670.08000001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00_Executive_KPI_Dashboard</vt:lpstr>
      <vt:lpstr>ANA-301_Prior_Auth_Denials</vt:lpstr>
      <vt:lpstr>ANA-302_Value_Based_ROCI</vt:lpstr>
      <vt:lpstr>ANA-303_Audit_Liability</vt:lpstr>
      <vt:lpstr>ANA-304_Crisis_Hemorrhage</vt:lpstr>
      <vt:lpstr>05_Financial_Optimization_Model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Diaaeldin Alhabieb</cp:lastModifiedBy>
  <dcterms:created xsi:type="dcterms:W3CDTF">2026-08-14T07:18:18Z</dcterms:created>
  <dcterms:modified xsi:type="dcterms:W3CDTF">2026-08-14T08:09:51Z</dcterms:modified>
</cp:coreProperties>
</file>